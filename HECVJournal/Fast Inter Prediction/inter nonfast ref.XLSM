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hm\"/>
    </mc:Choice>
  </mc:AlternateContent>
  <xr:revisionPtr revIDLastSave="0" documentId="13_ncr:1_{619AB745-6F00-4D04-A950-A9CE848E5CF8}" xr6:coauthVersionLast="46" xr6:coauthVersionMax="46" xr10:uidLastSave="{00000000-0000-0000-0000-000000000000}"/>
  <bookViews>
    <workbookView xWindow="-120" yWindow="-120" windowWidth="29040" windowHeight="15840" tabRatio="884" activeTab="5" xr2:uid="{00000000-000D-0000-FFFF-FFFF00000000}"/>
  </bookViews>
  <sheets>
    <sheet name="Summary" sheetId="9" r:id="rId1"/>
    <sheet name="Plot" sheetId="10" r:id="rId2"/>
    <sheet name="AI-10" sheetId="27" r:id="rId3"/>
    <sheet name="RA-10" sheetId="20" r:id="rId4"/>
    <sheet name="LDB-10" sheetId="25" r:id="rId5"/>
    <sheet name="LDP-10" sheetId="29" r:id="rId6"/>
    <sheet name="Reference" sheetId="17" r:id="rId7"/>
    <sheet name="Test" sheetId="18" r:id="rId8"/>
  </sheets>
  <functionGroups builtInGroupCount="19"/>
  <definedNames>
    <definedName name="_xlnm._FilterDatabase" localSheetId="1" hidden="1">Plot!$A$1:$B$2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00" i="27" l="1"/>
  <c r="H99" i="27"/>
  <c r="J99" i="27" s="1"/>
  <c r="H100" i="27"/>
  <c r="H101" i="27"/>
  <c r="H102" i="27"/>
  <c r="G99" i="27"/>
  <c r="G100" i="27"/>
  <c r="G101" i="27"/>
  <c r="G102" i="27"/>
  <c r="F99" i="27"/>
  <c r="F100" i="27"/>
  <c r="F101" i="27"/>
  <c r="F102" i="27"/>
  <c r="E99" i="27"/>
  <c r="E100" i="27"/>
  <c r="E101" i="27"/>
  <c r="E102" i="27"/>
  <c r="D99" i="27"/>
  <c r="D101" i="27"/>
  <c r="D102" i="27"/>
  <c r="H57" i="27"/>
  <c r="J57" i="27" s="1"/>
  <c r="H56" i="27"/>
  <c r="G57" i="27"/>
  <c r="F57" i="27"/>
  <c r="E56" i="27"/>
  <c r="E57" i="27"/>
  <c r="D57" i="27"/>
  <c r="G56" i="27"/>
  <c r="F56" i="27"/>
  <c r="D56" i="27"/>
  <c r="H55" i="27"/>
  <c r="J55" i="27" s="1"/>
  <c r="G55" i="27"/>
  <c r="F55" i="27"/>
  <c r="E55" i="27"/>
  <c r="D55" i="27"/>
  <c r="I54" i="27"/>
  <c r="H54" i="27"/>
  <c r="G54" i="27"/>
  <c r="F54" i="27"/>
  <c r="E54" i="27"/>
  <c r="D54" i="27"/>
  <c r="M14" i="9" l="1"/>
  <c r="M8" i="9"/>
  <c r="M2" i="9"/>
  <c r="E39" i="9" l="1"/>
  <c r="E27" i="9"/>
  <c r="E15" i="9"/>
  <c r="E3" i="9"/>
  <c r="B47" i="9" l="1"/>
  <c r="B35" i="9"/>
  <c r="B23" i="9"/>
  <c r="L27" i="29"/>
  <c r="M27" i="29"/>
  <c r="N27" i="29"/>
  <c r="O27" i="29"/>
  <c r="P27" i="29"/>
  <c r="Q27" i="29"/>
  <c r="L28" i="29"/>
  <c r="M28" i="29"/>
  <c r="N28" i="29"/>
  <c r="O28" i="29"/>
  <c r="P28" i="29"/>
  <c r="R28" i="29" s="1"/>
  <c r="Q28" i="29"/>
  <c r="L29" i="29"/>
  <c r="M29" i="29"/>
  <c r="N29" i="29"/>
  <c r="O29" i="29"/>
  <c r="P29" i="29"/>
  <c r="R29" i="29" s="1"/>
  <c r="Q29" i="29"/>
  <c r="L30" i="29"/>
  <c r="M30" i="29"/>
  <c r="N30" i="29"/>
  <c r="O30" i="29"/>
  <c r="P30" i="29"/>
  <c r="R30" i="29" s="1"/>
  <c r="Q30" i="29"/>
  <c r="L31" i="29"/>
  <c r="M31" i="29"/>
  <c r="N31" i="29"/>
  <c r="O31" i="29"/>
  <c r="P31" i="29"/>
  <c r="R31" i="29" s="1"/>
  <c r="Q31" i="29"/>
  <c r="L32" i="29"/>
  <c r="M32" i="29"/>
  <c r="N32" i="29"/>
  <c r="O32" i="29"/>
  <c r="P32" i="29"/>
  <c r="Q32" i="29"/>
  <c r="L33" i="29"/>
  <c r="M33" i="29"/>
  <c r="N33" i="29"/>
  <c r="O33" i="29"/>
  <c r="P33" i="29"/>
  <c r="Q33" i="29"/>
  <c r="L34" i="29"/>
  <c r="M34" i="29"/>
  <c r="N34" i="29"/>
  <c r="O34" i="29"/>
  <c r="P34" i="29"/>
  <c r="R34" i="29" s="1"/>
  <c r="Q34" i="29"/>
  <c r="L35" i="29"/>
  <c r="M35" i="29"/>
  <c r="N35" i="29"/>
  <c r="O35" i="29"/>
  <c r="P35" i="29"/>
  <c r="R35" i="29"/>
  <c r="Q35" i="29"/>
  <c r="L36" i="29"/>
  <c r="M36" i="29"/>
  <c r="N36" i="29"/>
  <c r="O36" i="29"/>
  <c r="P36" i="29"/>
  <c r="R36" i="29" s="1"/>
  <c r="Q36" i="29"/>
  <c r="L37" i="29"/>
  <c r="M37" i="29"/>
  <c r="N37" i="29"/>
  <c r="O37" i="29"/>
  <c r="P37" i="29"/>
  <c r="Q37" i="29"/>
  <c r="L38" i="29"/>
  <c r="M38" i="29"/>
  <c r="N38" i="29"/>
  <c r="O38" i="29"/>
  <c r="P38" i="29"/>
  <c r="R38" i="29" s="1"/>
  <c r="Q38" i="29"/>
  <c r="L39" i="29"/>
  <c r="M39" i="29"/>
  <c r="N39" i="29"/>
  <c r="O39" i="29"/>
  <c r="P39" i="29"/>
  <c r="Q39" i="29"/>
  <c r="L40" i="29"/>
  <c r="M40" i="29"/>
  <c r="N40" i="29"/>
  <c r="O40" i="29"/>
  <c r="P40" i="29"/>
  <c r="R40" i="29" s="1"/>
  <c r="Q40" i="29"/>
  <c r="L41" i="29"/>
  <c r="M41" i="29"/>
  <c r="N41" i="29"/>
  <c r="O41" i="29"/>
  <c r="P41" i="29"/>
  <c r="R41" i="29" s="1"/>
  <c r="Q41" i="29"/>
  <c r="L42" i="29"/>
  <c r="M42" i="29"/>
  <c r="N42" i="29"/>
  <c r="O42" i="29"/>
  <c r="P42" i="29"/>
  <c r="R42" i="29" s="1"/>
  <c r="Q42" i="29"/>
  <c r="L43" i="29"/>
  <c r="M43" i="29"/>
  <c r="N43" i="29"/>
  <c r="O43" i="29"/>
  <c r="P43" i="29"/>
  <c r="Q43" i="29"/>
  <c r="L44" i="29"/>
  <c r="M44" i="29"/>
  <c r="N44" i="29"/>
  <c r="O44" i="29"/>
  <c r="P44" i="29"/>
  <c r="R44" i="29" s="1"/>
  <c r="Q44" i="29"/>
  <c r="L45" i="29"/>
  <c r="M45" i="29"/>
  <c r="N45" i="29"/>
  <c r="O45" i="29"/>
  <c r="P45" i="29"/>
  <c r="R45" i="29" s="1"/>
  <c r="Q45" i="29"/>
  <c r="L46" i="29"/>
  <c r="M46" i="29"/>
  <c r="N46" i="29"/>
  <c r="O46" i="29"/>
  <c r="P46" i="29"/>
  <c r="R46" i="29" s="1"/>
  <c r="Q46" i="29"/>
  <c r="L47" i="29"/>
  <c r="M47" i="29"/>
  <c r="N47" i="29"/>
  <c r="O47" i="29"/>
  <c r="P47" i="29"/>
  <c r="R47" i="29" s="1"/>
  <c r="Q47" i="29"/>
  <c r="L48" i="29"/>
  <c r="M48" i="29"/>
  <c r="N48" i="29"/>
  <c r="O48" i="29"/>
  <c r="P48" i="29"/>
  <c r="Q48" i="29"/>
  <c r="L49" i="29"/>
  <c r="M49" i="29"/>
  <c r="N49" i="29"/>
  <c r="O49" i="29"/>
  <c r="P49" i="29"/>
  <c r="R49" i="29" s="1"/>
  <c r="Q49" i="29"/>
  <c r="L50" i="29"/>
  <c r="M50" i="29"/>
  <c r="N50" i="29"/>
  <c r="O50" i="29"/>
  <c r="P50" i="29"/>
  <c r="Q50" i="29"/>
  <c r="L51" i="29"/>
  <c r="M51" i="29"/>
  <c r="N51" i="29"/>
  <c r="O51" i="29"/>
  <c r="P51" i="29"/>
  <c r="R51" i="29" s="1"/>
  <c r="Q51" i="29"/>
  <c r="L52" i="29"/>
  <c r="M52" i="29"/>
  <c r="N52" i="29"/>
  <c r="O52" i="29"/>
  <c r="P52" i="29"/>
  <c r="Q52" i="29"/>
  <c r="L53" i="29"/>
  <c r="M53" i="29"/>
  <c r="N53" i="29"/>
  <c r="O53" i="29"/>
  <c r="P53" i="29"/>
  <c r="Q53" i="29"/>
  <c r="L54" i="29"/>
  <c r="M54" i="29"/>
  <c r="N54" i="29"/>
  <c r="O54" i="29"/>
  <c r="P54" i="29"/>
  <c r="Q54" i="29"/>
  <c r="L55" i="29"/>
  <c r="M55" i="29"/>
  <c r="N55" i="29"/>
  <c r="O55" i="29"/>
  <c r="P55" i="29"/>
  <c r="R55" i="29"/>
  <c r="Q55" i="29"/>
  <c r="L56" i="29"/>
  <c r="M56" i="29"/>
  <c r="N56" i="29"/>
  <c r="O56" i="29"/>
  <c r="P56" i="29"/>
  <c r="R56" i="29" s="1"/>
  <c r="Q56" i="29"/>
  <c r="L57" i="29"/>
  <c r="M57" i="29"/>
  <c r="N57" i="29"/>
  <c r="O57" i="29"/>
  <c r="P57" i="29"/>
  <c r="R57" i="29" s="1"/>
  <c r="Q57" i="29"/>
  <c r="L58" i="29"/>
  <c r="M58" i="29"/>
  <c r="N58" i="29"/>
  <c r="O58" i="29"/>
  <c r="P58" i="29"/>
  <c r="Q58" i="29"/>
  <c r="L59" i="29"/>
  <c r="M59" i="29"/>
  <c r="N59" i="29"/>
  <c r="O59" i="29"/>
  <c r="P59" i="29"/>
  <c r="Q59" i="29"/>
  <c r="L60" i="29"/>
  <c r="M60" i="29"/>
  <c r="N60" i="29"/>
  <c r="O60" i="29"/>
  <c r="P60" i="29"/>
  <c r="Q60" i="29"/>
  <c r="L61" i="29"/>
  <c r="M61" i="29"/>
  <c r="N61" i="29"/>
  <c r="O61" i="29"/>
  <c r="P61" i="29"/>
  <c r="R61" i="29" s="1"/>
  <c r="Q61" i="29"/>
  <c r="L62" i="29"/>
  <c r="M62" i="29"/>
  <c r="N62" i="29"/>
  <c r="O62" i="29"/>
  <c r="P62" i="29"/>
  <c r="R62" i="29" s="1"/>
  <c r="Q62" i="29"/>
  <c r="L63" i="29"/>
  <c r="M63" i="29"/>
  <c r="N63" i="29"/>
  <c r="O63" i="29"/>
  <c r="P63" i="29"/>
  <c r="R63" i="29" s="1"/>
  <c r="Q63" i="29"/>
  <c r="L64" i="29"/>
  <c r="M64" i="29"/>
  <c r="N64" i="29"/>
  <c r="O64" i="29"/>
  <c r="P64" i="29"/>
  <c r="R64" i="29" s="1"/>
  <c r="Q64" i="29"/>
  <c r="L65" i="29"/>
  <c r="M65" i="29"/>
  <c r="N65" i="29"/>
  <c r="O65" i="29"/>
  <c r="P65" i="29"/>
  <c r="R65" i="29" s="1"/>
  <c r="Q65" i="29"/>
  <c r="L66" i="29"/>
  <c r="M66" i="29"/>
  <c r="N66" i="29"/>
  <c r="O66" i="29"/>
  <c r="P66" i="29"/>
  <c r="Q66" i="29"/>
  <c r="L67" i="29"/>
  <c r="M67" i="29"/>
  <c r="N67" i="29"/>
  <c r="O67" i="29"/>
  <c r="P67" i="29"/>
  <c r="R67" i="29" s="1"/>
  <c r="Q67" i="29"/>
  <c r="L68" i="29"/>
  <c r="M68" i="29"/>
  <c r="N68" i="29"/>
  <c r="O68" i="29"/>
  <c r="P68" i="29"/>
  <c r="Q68" i="29"/>
  <c r="L69" i="29"/>
  <c r="M69" i="29"/>
  <c r="N69" i="29"/>
  <c r="O69" i="29"/>
  <c r="P69" i="29"/>
  <c r="R69" i="29" s="1"/>
  <c r="Q69" i="29"/>
  <c r="L70" i="29"/>
  <c r="M70" i="29"/>
  <c r="N70" i="29"/>
  <c r="O70" i="29"/>
  <c r="P70" i="29"/>
  <c r="Q70" i="29"/>
  <c r="Q111" i="29" s="1"/>
  <c r="L71" i="29"/>
  <c r="M71" i="29"/>
  <c r="N71" i="29"/>
  <c r="O71" i="29"/>
  <c r="P71" i="29"/>
  <c r="R71" i="29" s="1"/>
  <c r="Q71" i="29"/>
  <c r="L72" i="29"/>
  <c r="M72" i="29"/>
  <c r="N72" i="29"/>
  <c r="O72" i="29"/>
  <c r="P72" i="29"/>
  <c r="Q72" i="29"/>
  <c r="L73" i="29"/>
  <c r="M73" i="29"/>
  <c r="N73" i="29"/>
  <c r="O73" i="29"/>
  <c r="P73" i="29"/>
  <c r="R73" i="29" s="1"/>
  <c r="Q73" i="29"/>
  <c r="L74" i="29"/>
  <c r="M74" i="29"/>
  <c r="N74" i="29"/>
  <c r="O74" i="29"/>
  <c r="P74" i="29"/>
  <c r="Q74" i="29"/>
  <c r="L75" i="29"/>
  <c r="M75" i="29"/>
  <c r="N75" i="29"/>
  <c r="O75" i="29"/>
  <c r="P75" i="29"/>
  <c r="Q75" i="29"/>
  <c r="L76" i="29"/>
  <c r="M76" i="29"/>
  <c r="N76" i="29"/>
  <c r="O76" i="29"/>
  <c r="P76" i="29"/>
  <c r="Q76" i="29"/>
  <c r="L77" i="29"/>
  <c r="M77" i="29"/>
  <c r="N77" i="29"/>
  <c r="O77" i="29"/>
  <c r="P77" i="29"/>
  <c r="R77" i="29" s="1"/>
  <c r="Q77" i="29"/>
  <c r="L78" i="29"/>
  <c r="M78" i="29"/>
  <c r="N78" i="29"/>
  <c r="O78" i="29"/>
  <c r="P78" i="29"/>
  <c r="R78" i="29" s="1"/>
  <c r="Q78" i="29"/>
  <c r="L79" i="29"/>
  <c r="M79" i="29"/>
  <c r="N79" i="29"/>
  <c r="O79" i="29"/>
  <c r="P79" i="29"/>
  <c r="R79" i="29" s="1"/>
  <c r="Q79" i="29"/>
  <c r="L80" i="29"/>
  <c r="M80" i="29"/>
  <c r="N80" i="29"/>
  <c r="O80" i="29"/>
  <c r="P80" i="29"/>
  <c r="R80" i="29"/>
  <c r="Q80" i="29"/>
  <c r="L81" i="29"/>
  <c r="M81" i="29"/>
  <c r="N81" i="29"/>
  <c r="O81" i="29"/>
  <c r="P81" i="29"/>
  <c r="R81" i="29" s="1"/>
  <c r="Q81" i="29"/>
  <c r="L82" i="29"/>
  <c r="M82" i="29"/>
  <c r="N82" i="29"/>
  <c r="O82" i="29"/>
  <c r="P82" i="29"/>
  <c r="R82" i="29" s="1"/>
  <c r="Q82" i="29"/>
  <c r="L83" i="29"/>
  <c r="M83" i="29"/>
  <c r="N83" i="29"/>
  <c r="O83" i="29"/>
  <c r="P83" i="29"/>
  <c r="Q83" i="29"/>
  <c r="L84" i="29"/>
  <c r="M84" i="29"/>
  <c r="N84" i="29"/>
  <c r="O84" i="29"/>
  <c r="P84" i="29"/>
  <c r="R84" i="29" s="1"/>
  <c r="Q84" i="29"/>
  <c r="L85" i="29"/>
  <c r="M85" i="29"/>
  <c r="N85" i="29"/>
  <c r="O85" i="29"/>
  <c r="P85" i="29"/>
  <c r="R85" i="29" s="1"/>
  <c r="Q85" i="29"/>
  <c r="L86" i="29"/>
  <c r="M86" i="29"/>
  <c r="N86" i="29"/>
  <c r="O86" i="29"/>
  <c r="P86" i="29"/>
  <c r="Q86" i="29"/>
  <c r="L87" i="29"/>
  <c r="M87" i="29"/>
  <c r="N87" i="29"/>
  <c r="O87" i="29"/>
  <c r="P87" i="29"/>
  <c r="R87" i="29" s="1"/>
  <c r="Q87" i="29"/>
  <c r="L88" i="29"/>
  <c r="M88" i="29"/>
  <c r="N88" i="29"/>
  <c r="O88" i="29"/>
  <c r="P88" i="29"/>
  <c r="Q88" i="29"/>
  <c r="L89" i="29"/>
  <c r="M89" i="29"/>
  <c r="N89" i="29"/>
  <c r="O89" i="29"/>
  <c r="P89" i="29"/>
  <c r="Q89" i="29"/>
  <c r="L90" i="29"/>
  <c r="M90" i="29"/>
  <c r="N90" i="29"/>
  <c r="O90" i="29"/>
  <c r="P90" i="29"/>
  <c r="Q90" i="29"/>
  <c r="L91" i="29"/>
  <c r="M91" i="29"/>
  <c r="N91" i="29"/>
  <c r="O91" i="29"/>
  <c r="P91" i="29"/>
  <c r="R91" i="29" s="1"/>
  <c r="Q91" i="29"/>
  <c r="L92" i="29"/>
  <c r="M92" i="29"/>
  <c r="N92" i="29"/>
  <c r="O92" i="29"/>
  <c r="P92" i="29"/>
  <c r="Q92" i="29"/>
  <c r="L93" i="29"/>
  <c r="M93" i="29"/>
  <c r="N93" i="29"/>
  <c r="O93" i="29"/>
  <c r="P93" i="29"/>
  <c r="Q93" i="29"/>
  <c r="L94" i="29"/>
  <c r="M94" i="29"/>
  <c r="N94" i="29"/>
  <c r="O94" i="29"/>
  <c r="P94" i="29"/>
  <c r="Q94" i="29"/>
  <c r="L95" i="29"/>
  <c r="M95" i="29"/>
  <c r="N95" i="29"/>
  <c r="O95" i="29"/>
  <c r="P95" i="29"/>
  <c r="R95" i="29" s="1"/>
  <c r="Q95" i="29"/>
  <c r="L96" i="29"/>
  <c r="M96" i="29"/>
  <c r="N96" i="29"/>
  <c r="O96" i="29"/>
  <c r="P96" i="29"/>
  <c r="Q96" i="29"/>
  <c r="L97" i="29"/>
  <c r="M97" i="29"/>
  <c r="N97" i="29"/>
  <c r="O97" i="29"/>
  <c r="P97" i="29"/>
  <c r="R97" i="29" s="1"/>
  <c r="Q97" i="29"/>
  <c r="L98" i="29"/>
  <c r="M98" i="29"/>
  <c r="N98" i="29"/>
  <c r="O98" i="29"/>
  <c r="P98" i="29"/>
  <c r="R98" i="29" s="1"/>
  <c r="Q98" i="29"/>
  <c r="L99" i="29"/>
  <c r="M99" i="29"/>
  <c r="N99" i="29"/>
  <c r="O99" i="29"/>
  <c r="P99" i="29"/>
  <c r="R99" i="29" s="1"/>
  <c r="Q99" i="29"/>
  <c r="L100" i="29"/>
  <c r="M100" i="29"/>
  <c r="N100" i="29"/>
  <c r="O100" i="29"/>
  <c r="P100" i="29"/>
  <c r="Q100" i="29"/>
  <c r="L101" i="29"/>
  <c r="M101" i="29"/>
  <c r="N101" i="29"/>
  <c r="O101" i="29"/>
  <c r="P101" i="29"/>
  <c r="R101" i="29" s="1"/>
  <c r="Q101" i="29"/>
  <c r="L102" i="29"/>
  <c r="M102" i="29"/>
  <c r="N102" i="29"/>
  <c r="O102" i="29"/>
  <c r="P102" i="29"/>
  <c r="R102" i="29" s="1"/>
  <c r="Q102" i="29"/>
  <c r="L103" i="29"/>
  <c r="M103" i="29"/>
  <c r="N103" i="29"/>
  <c r="O103" i="29"/>
  <c r="P103" i="29"/>
  <c r="R103" i="29" s="1"/>
  <c r="Q103" i="29"/>
  <c r="L104" i="29"/>
  <c r="M104" i="29"/>
  <c r="N104" i="29"/>
  <c r="O104" i="29"/>
  <c r="P104" i="29"/>
  <c r="R104" i="29" s="1"/>
  <c r="Q104" i="29"/>
  <c r="L105" i="29"/>
  <c r="M105" i="29"/>
  <c r="N105" i="29"/>
  <c r="O105" i="29"/>
  <c r="P105" i="29"/>
  <c r="R105" i="29" s="1"/>
  <c r="Q105" i="29"/>
  <c r="L106" i="29"/>
  <c r="M106" i="29"/>
  <c r="N106" i="29"/>
  <c r="O106" i="29"/>
  <c r="P106" i="29"/>
  <c r="R106" i="29" s="1"/>
  <c r="Q106" i="29"/>
  <c r="L27" i="25"/>
  <c r="M27" i="25"/>
  <c r="N27" i="25"/>
  <c r="O27" i="25"/>
  <c r="P27" i="25"/>
  <c r="Q27" i="25"/>
  <c r="L28" i="25"/>
  <c r="M28" i="25"/>
  <c r="N28" i="25"/>
  <c r="O28" i="25"/>
  <c r="P28" i="25"/>
  <c r="R28" i="25" s="1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T31" i="25" s="1"/>
  <c r="L32" i="25"/>
  <c r="M32" i="25"/>
  <c r="N32" i="25"/>
  <c r="O32" i="25"/>
  <c r="P32" i="25"/>
  <c r="R32" i="25" s="1"/>
  <c r="Q32" i="25"/>
  <c r="L33" i="25"/>
  <c r="M33" i="25"/>
  <c r="N33" i="25"/>
  <c r="O33" i="25"/>
  <c r="P33" i="25"/>
  <c r="R33" i="25"/>
  <c r="Q33" i="25"/>
  <c r="L34" i="25"/>
  <c r="M34" i="25"/>
  <c r="N34" i="25"/>
  <c r="O34" i="25"/>
  <c r="P34" i="25"/>
  <c r="R34" i="25" s="1"/>
  <c r="Q34" i="25"/>
  <c r="L35" i="25"/>
  <c r="M35" i="25"/>
  <c r="N35" i="25"/>
  <c r="O35" i="25"/>
  <c r="P35" i="25"/>
  <c r="Q35" i="25"/>
  <c r="L36" i="25"/>
  <c r="M36" i="25"/>
  <c r="N36" i="25"/>
  <c r="O36" i="25"/>
  <c r="P36" i="25"/>
  <c r="R36" i="25" s="1"/>
  <c r="Q36" i="25"/>
  <c r="L37" i="25"/>
  <c r="M37" i="25"/>
  <c r="N37" i="25"/>
  <c r="O37" i="25"/>
  <c r="P37" i="25"/>
  <c r="Q37" i="25"/>
  <c r="L38" i="25"/>
  <c r="M38" i="25"/>
  <c r="N38" i="25"/>
  <c r="O38" i="25"/>
  <c r="P38" i="25"/>
  <c r="R38" i="25" s="1"/>
  <c r="Q38" i="25"/>
  <c r="L39" i="25"/>
  <c r="M39" i="25"/>
  <c r="N39" i="25"/>
  <c r="O39" i="25"/>
  <c r="P39" i="25"/>
  <c r="Q39" i="25"/>
  <c r="L40" i="25"/>
  <c r="M40" i="25"/>
  <c r="N40" i="25"/>
  <c r="O40" i="25"/>
  <c r="P40" i="25"/>
  <c r="R40" i="25"/>
  <c r="Q40" i="25"/>
  <c r="L41" i="25"/>
  <c r="M41" i="25"/>
  <c r="N41" i="25"/>
  <c r="O41" i="25"/>
  <c r="P41" i="25"/>
  <c r="R41" i="25" s="1"/>
  <c r="Q41" i="25"/>
  <c r="L42" i="25"/>
  <c r="M42" i="25"/>
  <c r="N42" i="25"/>
  <c r="O42" i="25"/>
  <c r="P42" i="25"/>
  <c r="R42" i="25" s="1"/>
  <c r="Q42" i="25"/>
  <c r="L43" i="25"/>
  <c r="M43" i="25"/>
  <c r="N43" i="25"/>
  <c r="O43" i="25"/>
  <c r="P43" i="25"/>
  <c r="R43" i="25" s="1"/>
  <c r="Q43" i="25"/>
  <c r="L44" i="25"/>
  <c r="M44" i="25"/>
  <c r="N44" i="25"/>
  <c r="O44" i="25"/>
  <c r="P44" i="25"/>
  <c r="R44" i="25" s="1"/>
  <c r="Q44" i="25"/>
  <c r="L45" i="25"/>
  <c r="M45" i="25"/>
  <c r="N45" i="25"/>
  <c r="O45" i="25"/>
  <c r="P45" i="25"/>
  <c r="R45" i="25" s="1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R48" i="25" s="1"/>
  <c r="Q48" i="25"/>
  <c r="L49" i="25"/>
  <c r="M49" i="25"/>
  <c r="N49" i="25"/>
  <c r="O49" i="25"/>
  <c r="P49" i="25"/>
  <c r="R49" i="25" s="1"/>
  <c r="Q49" i="25"/>
  <c r="L50" i="25"/>
  <c r="M50" i="25"/>
  <c r="N50" i="25"/>
  <c r="O50" i="25"/>
  <c r="P50" i="25"/>
  <c r="Q50" i="25"/>
  <c r="L51" i="25"/>
  <c r="M51" i="25"/>
  <c r="N51" i="25"/>
  <c r="O51" i="25"/>
  <c r="P51" i="25"/>
  <c r="R51" i="25" s="1"/>
  <c r="Q51" i="25"/>
  <c r="L52" i="25"/>
  <c r="M52" i="25"/>
  <c r="N52" i="25"/>
  <c r="O52" i="25"/>
  <c r="P52" i="25"/>
  <c r="R52" i="25" s="1"/>
  <c r="Q52" i="25"/>
  <c r="L53" i="25"/>
  <c r="M53" i="25"/>
  <c r="N53" i="25"/>
  <c r="O53" i="25"/>
  <c r="P53" i="25"/>
  <c r="Q53" i="25"/>
  <c r="L54" i="25"/>
  <c r="M54" i="25"/>
  <c r="N54" i="25"/>
  <c r="O54" i="25"/>
  <c r="P54" i="25"/>
  <c r="R54" i="25" s="1"/>
  <c r="Q54" i="25"/>
  <c r="L55" i="25"/>
  <c r="M55" i="25"/>
  <c r="N55" i="25"/>
  <c r="O55" i="25"/>
  <c r="P55" i="25"/>
  <c r="Q55" i="25"/>
  <c r="L56" i="25"/>
  <c r="M56" i="25"/>
  <c r="N56" i="25"/>
  <c r="O56" i="25"/>
  <c r="P56" i="25"/>
  <c r="R56" i="25"/>
  <c r="Q56" i="25"/>
  <c r="L57" i="25"/>
  <c r="M57" i="25"/>
  <c r="N57" i="25"/>
  <c r="O57" i="25"/>
  <c r="P57" i="25"/>
  <c r="Q57" i="25"/>
  <c r="L58" i="25"/>
  <c r="M58" i="25"/>
  <c r="N58" i="25"/>
  <c r="O58" i="25"/>
  <c r="P58" i="25"/>
  <c r="Q58" i="25"/>
  <c r="L59" i="25"/>
  <c r="M59" i="25"/>
  <c r="N59" i="25"/>
  <c r="O59" i="25"/>
  <c r="P59" i="25"/>
  <c r="R59" i="25"/>
  <c r="Q59" i="25"/>
  <c r="L60" i="25"/>
  <c r="M60" i="25"/>
  <c r="N60" i="25"/>
  <c r="O60" i="25"/>
  <c r="P60" i="25"/>
  <c r="R60" i="25" s="1"/>
  <c r="Q60" i="25"/>
  <c r="L61" i="25"/>
  <c r="M61" i="25"/>
  <c r="N61" i="25"/>
  <c r="O61" i="25"/>
  <c r="P61" i="25"/>
  <c r="R61" i="25" s="1"/>
  <c r="Q61" i="25"/>
  <c r="L62" i="25"/>
  <c r="M62" i="25"/>
  <c r="N62" i="25"/>
  <c r="O62" i="25"/>
  <c r="P62" i="25"/>
  <c r="R62" i="25" s="1"/>
  <c r="Q62" i="25"/>
  <c r="L63" i="25"/>
  <c r="M63" i="25"/>
  <c r="N63" i="25"/>
  <c r="O63" i="25"/>
  <c r="P63" i="25"/>
  <c r="Q63" i="25"/>
  <c r="L64" i="25"/>
  <c r="M64" i="25"/>
  <c r="N64" i="25"/>
  <c r="O64" i="25"/>
  <c r="P64" i="25"/>
  <c r="R64" i="25" s="1"/>
  <c r="Q64" i="25"/>
  <c r="L65" i="25"/>
  <c r="M65" i="25"/>
  <c r="N65" i="25"/>
  <c r="O65" i="25"/>
  <c r="P65" i="25"/>
  <c r="R65" i="25" s="1"/>
  <c r="Q65" i="25"/>
  <c r="L66" i="25"/>
  <c r="M66" i="25"/>
  <c r="N66" i="25"/>
  <c r="O66" i="25"/>
  <c r="P66" i="25"/>
  <c r="R66" i="25" s="1"/>
  <c r="Q66" i="25"/>
  <c r="L67" i="25"/>
  <c r="M67" i="25"/>
  <c r="N67" i="25"/>
  <c r="O67" i="25"/>
  <c r="P67" i="25"/>
  <c r="R67" i="25" s="1"/>
  <c r="Q67" i="25"/>
  <c r="L68" i="25"/>
  <c r="M68" i="25"/>
  <c r="N68" i="25"/>
  <c r="O68" i="25"/>
  <c r="P68" i="25"/>
  <c r="R68" i="25" s="1"/>
  <c r="Q68" i="25"/>
  <c r="L69" i="25"/>
  <c r="M69" i="25"/>
  <c r="N69" i="25"/>
  <c r="O69" i="25"/>
  <c r="P69" i="25"/>
  <c r="Q69" i="25"/>
  <c r="L70" i="25"/>
  <c r="M70" i="25"/>
  <c r="N70" i="25"/>
  <c r="O70" i="25"/>
  <c r="P70" i="25"/>
  <c r="R70" i="25" s="1"/>
  <c r="Q70" i="25"/>
  <c r="L71" i="25"/>
  <c r="M71" i="25"/>
  <c r="N71" i="25"/>
  <c r="O71" i="25"/>
  <c r="P71" i="25"/>
  <c r="R71" i="25"/>
  <c r="Q71" i="25"/>
  <c r="L72" i="25"/>
  <c r="M72" i="25"/>
  <c r="N72" i="25"/>
  <c r="O72" i="25"/>
  <c r="P72" i="25"/>
  <c r="R72" i="25" s="1"/>
  <c r="Q72" i="25"/>
  <c r="L73" i="25"/>
  <c r="M73" i="25"/>
  <c r="N73" i="25"/>
  <c r="O73" i="25"/>
  <c r="P73" i="25"/>
  <c r="Q73" i="25"/>
  <c r="L74" i="25"/>
  <c r="M74" i="25"/>
  <c r="N74" i="25"/>
  <c r="O74" i="25"/>
  <c r="P74" i="25"/>
  <c r="R74" i="25" s="1"/>
  <c r="Q74" i="25"/>
  <c r="L75" i="25"/>
  <c r="M75" i="25"/>
  <c r="N75" i="25"/>
  <c r="O75" i="25"/>
  <c r="P75" i="25"/>
  <c r="Q75" i="25"/>
  <c r="L76" i="25"/>
  <c r="M76" i="25"/>
  <c r="N76" i="25"/>
  <c r="O76" i="25"/>
  <c r="P76" i="25"/>
  <c r="R76" i="25"/>
  <c r="Q76" i="25"/>
  <c r="L77" i="25"/>
  <c r="M77" i="25"/>
  <c r="N77" i="25"/>
  <c r="O77" i="25"/>
  <c r="P77" i="25"/>
  <c r="R77" i="25" s="1"/>
  <c r="Q77" i="25"/>
  <c r="L78" i="25"/>
  <c r="M78" i="25"/>
  <c r="N78" i="25"/>
  <c r="O78" i="25"/>
  <c r="P78" i="25"/>
  <c r="R78" i="25" s="1"/>
  <c r="Q78" i="25"/>
  <c r="L79" i="25"/>
  <c r="M79" i="25"/>
  <c r="N79" i="25"/>
  <c r="O79" i="25"/>
  <c r="P79" i="25"/>
  <c r="R79" i="25" s="1"/>
  <c r="Q79" i="25"/>
  <c r="L80" i="25"/>
  <c r="M80" i="25"/>
  <c r="N80" i="25"/>
  <c r="O80" i="25"/>
  <c r="P80" i="25"/>
  <c r="R80" i="25" s="1"/>
  <c r="Q80" i="25"/>
  <c r="L81" i="25"/>
  <c r="M81" i="25"/>
  <c r="N81" i="25"/>
  <c r="O81" i="25"/>
  <c r="P81" i="25"/>
  <c r="R81" i="25" s="1"/>
  <c r="Q81" i="25"/>
  <c r="L82" i="25"/>
  <c r="M82" i="25"/>
  <c r="N82" i="25"/>
  <c r="O82" i="25"/>
  <c r="P82" i="25"/>
  <c r="R82" i="25"/>
  <c r="Q82" i="25"/>
  <c r="L83" i="25"/>
  <c r="M83" i="25"/>
  <c r="N83" i="25"/>
  <c r="O83" i="25"/>
  <c r="P83" i="25"/>
  <c r="Q83" i="25"/>
  <c r="L84" i="25"/>
  <c r="M84" i="25"/>
  <c r="N84" i="25"/>
  <c r="O84" i="25"/>
  <c r="P84" i="25"/>
  <c r="R84" i="25" s="1"/>
  <c r="Q84" i="25"/>
  <c r="L85" i="25"/>
  <c r="M85" i="25"/>
  <c r="N85" i="25"/>
  <c r="O85" i="25"/>
  <c r="P85" i="25"/>
  <c r="R85" i="25" s="1"/>
  <c r="Q85" i="25"/>
  <c r="L86" i="25"/>
  <c r="M86" i="25"/>
  <c r="N86" i="25"/>
  <c r="O86" i="25"/>
  <c r="P86" i="25"/>
  <c r="R86" i="25" s="1"/>
  <c r="Q86" i="25"/>
  <c r="L87" i="25"/>
  <c r="M87" i="25"/>
  <c r="N87" i="25"/>
  <c r="O87" i="25"/>
  <c r="P87" i="25"/>
  <c r="R87" i="25" s="1"/>
  <c r="Q87" i="25"/>
  <c r="L88" i="25"/>
  <c r="M88" i="25"/>
  <c r="N88" i="25"/>
  <c r="O88" i="25"/>
  <c r="P88" i="25"/>
  <c r="R88" i="25" s="1"/>
  <c r="Q88" i="25"/>
  <c r="L89" i="25"/>
  <c r="M89" i="25"/>
  <c r="N89" i="25"/>
  <c r="O89" i="25"/>
  <c r="P89" i="25"/>
  <c r="R89" i="25" s="1"/>
  <c r="Q89" i="25"/>
  <c r="L90" i="25"/>
  <c r="M90" i="25"/>
  <c r="N90" i="25"/>
  <c r="O90" i="25"/>
  <c r="P90" i="25"/>
  <c r="Q90" i="25"/>
  <c r="L91" i="25"/>
  <c r="M91" i="25"/>
  <c r="N91" i="25"/>
  <c r="O91" i="25"/>
  <c r="P91" i="25"/>
  <c r="R91" i="25" s="1"/>
  <c r="Q91" i="25"/>
  <c r="L92" i="25"/>
  <c r="M92" i="25"/>
  <c r="N92" i="25"/>
  <c r="O92" i="25"/>
  <c r="P92" i="25"/>
  <c r="Q92" i="25"/>
  <c r="L93" i="25"/>
  <c r="M93" i="25"/>
  <c r="N93" i="25"/>
  <c r="O93" i="25"/>
  <c r="P93" i="25"/>
  <c r="R93" i="25" s="1"/>
  <c r="Q93" i="25"/>
  <c r="L94" i="25"/>
  <c r="M94" i="25"/>
  <c r="N94" i="25"/>
  <c r="O94" i="25"/>
  <c r="P94" i="25"/>
  <c r="R94" i="25" s="1"/>
  <c r="Q94" i="25"/>
  <c r="L95" i="25"/>
  <c r="M95" i="25"/>
  <c r="N95" i="25"/>
  <c r="O95" i="25"/>
  <c r="P95" i="25"/>
  <c r="R95" i="25" s="1"/>
  <c r="Q95" i="25"/>
  <c r="L96" i="25"/>
  <c r="M96" i="25"/>
  <c r="N96" i="25"/>
  <c r="O96" i="25"/>
  <c r="P96" i="25"/>
  <c r="R96" i="25" s="1"/>
  <c r="Q96" i="25"/>
  <c r="L97" i="25"/>
  <c r="M97" i="25"/>
  <c r="N97" i="25"/>
  <c r="O97" i="25"/>
  <c r="P97" i="25"/>
  <c r="R97" i="25" s="1"/>
  <c r="Q97" i="25"/>
  <c r="L98" i="25"/>
  <c r="M98" i="25"/>
  <c r="N98" i="25"/>
  <c r="O98" i="25"/>
  <c r="P98" i="25"/>
  <c r="Q98" i="25"/>
  <c r="L99" i="25"/>
  <c r="M99" i="25"/>
  <c r="N99" i="25"/>
  <c r="O99" i="25"/>
  <c r="P99" i="25"/>
  <c r="R99" i="25" s="1"/>
  <c r="Q99" i="25"/>
  <c r="L100" i="25"/>
  <c r="M100" i="25"/>
  <c r="N100" i="25"/>
  <c r="O100" i="25"/>
  <c r="P100" i="25"/>
  <c r="Q100" i="25"/>
  <c r="L101" i="25"/>
  <c r="M101" i="25"/>
  <c r="N101" i="25"/>
  <c r="O101" i="25"/>
  <c r="P101" i="25"/>
  <c r="R101" i="25" s="1"/>
  <c r="Q101" i="25"/>
  <c r="L102" i="25"/>
  <c r="M102" i="25"/>
  <c r="N102" i="25"/>
  <c r="O102" i="25"/>
  <c r="P102" i="25"/>
  <c r="Q102" i="25"/>
  <c r="L103" i="25"/>
  <c r="M103" i="25"/>
  <c r="N103" i="25"/>
  <c r="O103" i="25"/>
  <c r="P103" i="25"/>
  <c r="R103" i="25" s="1"/>
  <c r="Q103" i="25"/>
  <c r="L104" i="25"/>
  <c r="M104" i="25"/>
  <c r="N104" i="25"/>
  <c r="O104" i="25"/>
  <c r="P104" i="25"/>
  <c r="Q104" i="25"/>
  <c r="L105" i="25"/>
  <c r="M105" i="25"/>
  <c r="N105" i="25"/>
  <c r="O105" i="25"/>
  <c r="P105" i="25"/>
  <c r="R105" i="25" s="1"/>
  <c r="Q105" i="25"/>
  <c r="L106" i="25"/>
  <c r="M106" i="25"/>
  <c r="N106" i="25"/>
  <c r="O106" i="25"/>
  <c r="P106" i="25"/>
  <c r="Q106" i="25"/>
  <c r="L27" i="20"/>
  <c r="M27" i="20"/>
  <c r="N27" i="20"/>
  <c r="O27" i="20"/>
  <c r="P27" i="20"/>
  <c r="Q27" i="20"/>
  <c r="L28" i="20"/>
  <c r="M28" i="20"/>
  <c r="N28" i="20"/>
  <c r="O28" i="20"/>
  <c r="P28" i="20"/>
  <c r="R28" i="20" s="1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R31" i="20" s="1"/>
  <c r="Q31" i="20"/>
  <c r="L32" i="20"/>
  <c r="M32" i="20"/>
  <c r="N32" i="20"/>
  <c r="O32" i="20"/>
  <c r="P32" i="20"/>
  <c r="R32" i="20"/>
  <c r="Q32" i="20"/>
  <c r="L33" i="20"/>
  <c r="M33" i="20"/>
  <c r="N33" i="20"/>
  <c r="O33" i="20"/>
  <c r="P33" i="20"/>
  <c r="R33" i="20" s="1"/>
  <c r="Q33" i="20"/>
  <c r="L34" i="20"/>
  <c r="M34" i="20"/>
  <c r="N34" i="20"/>
  <c r="O34" i="20"/>
  <c r="P34" i="20"/>
  <c r="Q34" i="20"/>
  <c r="L35" i="20"/>
  <c r="M35" i="20"/>
  <c r="N35" i="20"/>
  <c r="O35" i="20"/>
  <c r="P35" i="20"/>
  <c r="R35" i="20" s="1"/>
  <c r="Q35" i="20"/>
  <c r="L36" i="20"/>
  <c r="M36" i="20"/>
  <c r="N36" i="20"/>
  <c r="O36" i="20"/>
  <c r="P36" i="20"/>
  <c r="R36" i="20" s="1"/>
  <c r="Q36" i="20"/>
  <c r="L37" i="20"/>
  <c r="M37" i="20"/>
  <c r="N37" i="20"/>
  <c r="O37" i="20"/>
  <c r="P37" i="20"/>
  <c r="R37" i="20" s="1"/>
  <c r="Q37" i="20"/>
  <c r="L38" i="20"/>
  <c r="M38" i="20"/>
  <c r="N38" i="20"/>
  <c r="O38" i="20"/>
  <c r="P38" i="20"/>
  <c r="R38" i="20" s="1"/>
  <c r="Q38" i="20"/>
  <c r="L39" i="20"/>
  <c r="M39" i="20"/>
  <c r="N39" i="20"/>
  <c r="O39" i="20"/>
  <c r="P39" i="20"/>
  <c r="R39" i="20" s="1"/>
  <c r="Q39" i="20"/>
  <c r="L40" i="20"/>
  <c r="M40" i="20"/>
  <c r="N40" i="20"/>
  <c r="O40" i="20"/>
  <c r="P40" i="20"/>
  <c r="Q40" i="20"/>
  <c r="L41" i="20"/>
  <c r="M41" i="20"/>
  <c r="N41" i="20"/>
  <c r="O41" i="20"/>
  <c r="P41" i="20"/>
  <c r="R41" i="20"/>
  <c r="Q41" i="20"/>
  <c r="L42" i="20"/>
  <c r="M42" i="20"/>
  <c r="N42" i="20"/>
  <c r="O42" i="20"/>
  <c r="P42" i="20"/>
  <c r="R42" i="20" s="1"/>
  <c r="Q42" i="20"/>
  <c r="L43" i="20"/>
  <c r="M43" i="20"/>
  <c r="N43" i="20"/>
  <c r="O43" i="20"/>
  <c r="P43" i="20"/>
  <c r="R43" i="20" s="1"/>
  <c r="Q43" i="20"/>
  <c r="L44" i="20"/>
  <c r="M44" i="20"/>
  <c r="N44" i="20"/>
  <c r="O44" i="20"/>
  <c r="P44" i="20"/>
  <c r="R44" i="20" s="1"/>
  <c r="Q44" i="20"/>
  <c r="L45" i="20"/>
  <c r="M45" i="20"/>
  <c r="N45" i="20"/>
  <c r="O45" i="20"/>
  <c r="P45" i="20"/>
  <c r="R45" i="20" s="1"/>
  <c r="Q45" i="20"/>
  <c r="L46" i="20"/>
  <c r="M46" i="20"/>
  <c r="N46" i="20"/>
  <c r="O46" i="20"/>
  <c r="P46" i="20"/>
  <c r="Q46" i="20"/>
  <c r="L47" i="20"/>
  <c r="M47" i="20"/>
  <c r="N47" i="20"/>
  <c r="O47" i="20"/>
  <c r="P47" i="20"/>
  <c r="R47" i="20" s="1"/>
  <c r="Q47" i="20"/>
  <c r="L48" i="20"/>
  <c r="M48" i="20"/>
  <c r="N48" i="20"/>
  <c r="O48" i="20"/>
  <c r="P48" i="20"/>
  <c r="R48" i="20" s="1"/>
  <c r="Q48" i="20"/>
  <c r="L49" i="20"/>
  <c r="M49" i="20"/>
  <c r="N49" i="20"/>
  <c r="O49" i="20"/>
  <c r="P49" i="20"/>
  <c r="R49" i="20" s="1"/>
  <c r="Q49" i="20"/>
  <c r="L50" i="20"/>
  <c r="M50" i="20"/>
  <c r="N50" i="20"/>
  <c r="O50" i="20"/>
  <c r="P50" i="20"/>
  <c r="R50" i="20" s="1"/>
  <c r="Q50" i="20"/>
  <c r="L51" i="20"/>
  <c r="M51" i="20"/>
  <c r="N51" i="20"/>
  <c r="O51" i="20"/>
  <c r="P51" i="20"/>
  <c r="R51" i="20" s="1"/>
  <c r="Q51" i="20"/>
  <c r="L52" i="20"/>
  <c r="M52" i="20"/>
  <c r="N52" i="20"/>
  <c r="O52" i="20"/>
  <c r="P52" i="20"/>
  <c r="R52" i="20" s="1"/>
  <c r="Q52" i="20"/>
  <c r="L53" i="20"/>
  <c r="M53" i="20"/>
  <c r="N53" i="20"/>
  <c r="O53" i="20"/>
  <c r="P53" i="20"/>
  <c r="R53" i="20" s="1"/>
  <c r="Q53" i="20"/>
  <c r="L54" i="20"/>
  <c r="M54" i="20"/>
  <c r="N54" i="20"/>
  <c r="O54" i="20"/>
  <c r="P54" i="20"/>
  <c r="Q54" i="20"/>
  <c r="L55" i="20"/>
  <c r="M55" i="20"/>
  <c r="N55" i="20"/>
  <c r="O55" i="20"/>
  <c r="P55" i="20"/>
  <c r="R55" i="20" s="1"/>
  <c r="Q55" i="20"/>
  <c r="L56" i="20"/>
  <c r="M56" i="20"/>
  <c r="N56" i="20"/>
  <c r="O56" i="20"/>
  <c r="P56" i="20"/>
  <c r="R56" i="20" s="1"/>
  <c r="Q56" i="20"/>
  <c r="L57" i="20"/>
  <c r="M57" i="20"/>
  <c r="N57" i="20"/>
  <c r="O57" i="20"/>
  <c r="P57" i="20"/>
  <c r="R57" i="20" s="1"/>
  <c r="Q57" i="20"/>
  <c r="L58" i="20"/>
  <c r="M58" i="20"/>
  <c r="N58" i="20"/>
  <c r="O58" i="20"/>
  <c r="P58" i="20"/>
  <c r="R58" i="20" s="1"/>
  <c r="Q58" i="20"/>
  <c r="L59" i="20"/>
  <c r="M59" i="20"/>
  <c r="N59" i="20"/>
  <c r="O59" i="20"/>
  <c r="P59" i="20"/>
  <c r="R59" i="20" s="1"/>
  <c r="Q59" i="20"/>
  <c r="L60" i="20"/>
  <c r="M60" i="20"/>
  <c r="N60" i="20"/>
  <c r="O60" i="20"/>
  <c r="P60" i="20"/>
  <c r="R60" i="20" s="1"/>
  <c r="Q60" i="20"/>
  <c r="L61" i="20"/>
  <c r="M61" i="20"/>
  <c r="N61" i="20"/>
  <c r="O61" i="20"/>
  <c r="P61" i="20"/>
  <c r="R61" i="20"/>
  <c r="Q61" i="20"/>
  <c r="L62" i="20"/>
  <c r="M62" i="20"/>
  <c r="N62" i="20"/>
  <c r="O62" i="20"/>
  <c r="P62" i="20"/>
  <c r="R62" i="20" s="1"/>
  <c r="Q62" i="20"/>
  <c r="L63" i="20"/>
  <c r="M63" i="20"/>
  <c r="N63" i="20"/>
  <c r="O63" i="20"/>
  <c r="P63" i="20"/>
  <c r="Q63" i="20"/>
  <c r="L64" i="20"/>
  <c r="M64" i="20"/>
  <c r="N64" i="20"/>
  <c r="O64" i="20"/>
  <c r="P64" i="20"/>
  <c r="R64" i="20" s="1"/>
  <c r="Q64" i="20"/>
  <c r="L65" i="20"/>
  <c r="M65" i="20"/>
  <c r="N65" i="20"/>
  <c r="O65" i="20"/>
  <c r="P65" i="20"/>
  <c r="R65" i="20" s="1"/>
  <c r="Q65" i="20"/>
  <c r="L66" i="20"/>
  <c r="M66" i="20"/>
  <c r="N66" i="20"/>
  <c r="O66" i="20"/>
  <c r="P66" i="20"/>
  <c r="R66" i="20" s="1"/>
  <c r="Q66" i="20"/>
  <c r="L67" i="20"/>
  <c r="M67" i="20"/>
  <c r="N67" i="20"/>
  <c r="O67" i="20"/>
  <c r="P67" i="20"/>
  <c r="Q67" i="20"/>
  <c r="L68" i="20"/>
  <c r="M68" i="20"/>
  <c r="N68" i="20"/>
  <c r="O68" i="20"/>
  <c r="P68" i="20"/>
  <c r="R68" i="20" s="1"/>
  <c r="Q68" i="20"/>
  <c r="L69" i="20"/>
  <c r="M69" i="20"/>
  <c r="N69" i="20"/>
  <c r="O69" i="20"/>
  <c r="P69" i="20"/>
  <c r="R69" i="20" s="1"/>
  <c r="Q69" i="20"/>
  <c r="L70" i="20"/>
  <c r="M70" i="20"/>
  <c r="N70" i="20"/>
  <c r="O70" i="20"/>
  <c r="P70" i="20"/>
  <c r="R70" i="20" s="1"/>
  <c r="Q70" i="20"/>
  <c r="L71" i="20"/>
  <c r="M71" i="20"/>
  <c r="N71" i="20"/>
  <c r="O71" i="20"/>
  <c r="P71" i="20"/>
  <c r="R71" i="20" s="1"/>
  <c r="Q71" i="20"/>
  <c r="L72" i="20"/>
  <c r="M72" i="20"/>
  <c r="N72" i="20"/>
  <c r="O72" i="20"/>
  <c r="P72" i="20"/>
  <c r="R72" i="20" s="1"/>
  <c r="Q72" i="20"/>
  <c r="L73" i="20"/>
  <c r="M73" i="20"/>
  <c r="N73" i="20"/>
  <c r="O73" i="20"/>
  <c r="P73" i="20"/>
  <c r="Q73" i="20"/>
  <c r="L74" i="20"/>
  <c r="M74" i="20"/>
  <c r="N74" i="20"/>
  <c r="O74" i="20"/>
  <c r="P74" i="20"/>
  <c r="R74" i="20" s="1"/>
  <c r="Q74" i="20"/>
  <c r="L75" i="20"/>
  <c r="M75" i="20"/>
  <c r="N75" i="20"/>
  <c r="O75" i="20"/>
  <c r="P75" i="20"/>
  <c r="Q75" i="20"/>
  <c r="L76" i="20"/>
  <c r="M76" i="20"/>
  <c r="N76" i="20"/>
  <c r="O76" i="20"/>
  <c r="P76" i="20"/>
  <c r="R76" i="20" s="1"/>
  <c r="Q76" i="20"/>
  <c r="L77" i="20"/>
  <c r="M77" i="20"/>
  <c r="N77" i="20"/>
  <c r="O77" i="20"/>
  <c r="P77" i="20"/>
  <c r="Q77" i="20"/>
  <c r="L78" i="20"/>
  <c r="M78" i="20"/>
  <c r="N78" i="20"/>
  <c r="O78" i="20"/>
  <c r="P78" i="20"/>
  <c r="R78" i="20" s="1"/>
  <c r="Q78" i="20"/>
  <c r="L91" i="20"/>
  <c r="M91" i="20"/>
  <c r="N91" i="20"/>
  <c r="O91" i="20"/>
  <c r="P91" i="20"/>
  <c r="R91" i="20" s="1"/>
  <c r="Q91" i="20"/>
  <c r="L92" i="20"/>
  <c r="M92" i="20"/>
  <c r="N92" i="20"/>
  <c r="O92" i="20"/>
  <c r="P92" i="20"/>
  <c r="Q92" i="20"/>
  <c r="L93" i="20"/>
  <c r="M93" i="20"/>
  <c r="N93" i="20"/>
  <c r="O93" i="20"/>
  <c r="P93" i="20"/>
  <c r="R93" i="20" s="1"/>
  <c r="Q93" i="20"/>
  <c r="L94" i="20"/>
  <c r="M94" i="20"/>
  <c r="N94" i="20"/>
  <c r="O94" i="20"/>
  <c r="P94" i="20"/>
  <c r="R94" i="20" s="1"/>
  <c r="Q94" i="20"/>
  <c r="L95" i="20"/>
  <c r="M95" i="20"/>
  <c r="N95" i="20"/>
  <c r="O95" i="20"/>
  <c r="P95" i="20"/>
  <c r="R95" i="20" s="1"/>
  <c r="Q95" i="20"/>
  <c r="L96" i="20"/>
  <c r="M96" i="20"/>
  <c r="N96" i="20"/>
  <c r="O96" i="20"/>
  <c r="P96" i="20"/>
  <c r="R96" i="20" s="1"/>
  <c r="Q96" i="20"/>
  <c r="L97" i="20"/>
  <c r="M97" i="20"/>
  <c r="N97" i="20"/>
  <c r="O97" i="20"/>
  <c r="P97" i="20"/>
  <c r="R97" i="20" s="1"/>
  <c r="Q97" i="20"/>
  <c r="L98" i="20"/>
  <c r="M98" i="20"/>
  <c r="N98" i="20"/>
  <c r="O98" i="20"/>
  <c r="P98" i="20"/>
  <c r="R98" i="20" s="1"/>
  <c r="Q98" i="20"/>
  <c r="L99" i="20"/>
  <c r="M99" i="20"/>
  <c r="N99" i="20"/>
  <c r="O99" i="20"/>
  <c r="P99" i="20"/>
  <c r="R99" i="20" s="1"/>
  <c r="Q99" i="20"/>
  <c r="L100" i="20"/>
  <c r="M100" i="20"/>
  <c r="N100" i="20"/>
  <c r="O100" i="20"/>
  <c r="P100" i="20"/>
  <c r="R100" i="20" s="1"/>
  <c r="Q100" i="20"/>
  <c r="L101" i="20"/>
  <c r="M101" i="20"/>
  <c r="N101" i="20"/>
  <c r="O101" i="20"/>
  <c r="P101" i="20"/>
  <c r="R101" i="20" s="1"/>
  <c r="Q101" i="20"/>
  <c r="L102" i="20"/>
  <c r="M102" i="20"/>
  <c r="N102" i="20"/>
  <c r="O102" i="20"/>
  <c r="P102" i="20"/>
  <c r="R102" i="20"/>
  <c r="Q102" i="20"/>
  <c r="L103" i="20"/>
  <c r="M103" i="20"/>
  <c r="N103" i="20"/>
  <c r="O103" i="20"/>
  <c r="P103" i="20"/>
  <c r="R103" i="20" s="1"/>
  <c r="Q103" i="20"/>
  <c r="L104" i="20"/>
  <c r="M104" i="20"/>
  <c r="N104" i="20"/>
  <c r="O104" i="20"/>
  <c r="P104" i="20"/>
  <c r="Q104" i="20"/>
  <c r="L105" i="20"/>
  <c r="M105" i="20"/>
  <c r="N105" i="20"/>
  <c r="O105" i="20"/>
  <c r="P105" i="20"/>
  <c r="R105" i="20" s="1"/>
  <c r="Q105" i="20"/>
  <c r="L106" i="20"/>
  <c r="M106" i="20"/>
  <c r="N106" i="20"/>
  <c r="O106" i="20"/>
  <c r="P106" i="20"/>
  <c r="Q106" i="20"/>
  <c r="R27" i="2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AB20" i="10" s="1"/>
  <c r="AB21" i="10" s="1"/>
  <c r="AB22" i="10" s="1"/>
  <c r="AB23" i="10" s="1"/>
  <c r="AB24" i="10" s="1"/>
  <c r="AB25" i="10" s="1"/>
  <c r="AB26" i="10" s="1"/>
  <c r="AB27" i="10" s="1"/>
  <c r="AB28" i="10" s="1"/>
  <c r="D30" i="29"/>
  <c r="E27" i="29"/>
  <c r="E28" i="29"/>
  <c r="E29" i="29"/>
  <c r="D27" i="29"/>
  <c r="D28" i="29"/>
  <c r="D29" i="29"/>
  <c r="E30" i="29"/>
  <c r="D34" i="29"/>
  <c r="E31" i="29"/>
  <c r="E32" i="29"/>
  <c r="E33" i="29"/>
  <c r="D31" i="29"/>
  <c r="D32" i="29"/>
  <c r="D33" i="29"/>
  <c r="E34" i="29"/>
  <c r="D38" i="29"/>
  <c r="E35" i="29"/>
  <c r="E36" i="29"/>
  <c r="E37" i="29"/>
  <c r="D35" i="29"/>
  <c r="D36" i="29"/>
  <c r="D37" i="29"/>
  <c r="E38" i="29"/>
  <c r="D42" i="29"/>
  <c r="E39" i="29"/>
  <c r="E40" i="29"/>
  <c r="E41" i="29"/>
  <c r="D39" i="29"/>
  <c r="D40" i="29"/>
  <c r="D41" i="29"/>
  <c r="E42" i="29"/>
  <c r="D46" i="29"/>
  <c r="E43" i="29"/>
  <c r="E44" i="29"/>
  <c r="E45" i="29"/>
  <c r="D43" i="29"/>
  <c r="D44" i="29"/>
  <c r="D45" i="29"/>
  <c r="E46" i="29"/>
  <c r="D50" i="29"/>
  <c r="E47" i="29"/>
  <c r="E48" i="29"/>
  <c r="E49" i="29"/>
  <c r="D47" i="29"/>
  <c r="D48" i="29"/>
  <c r="D49" i="29"/>
  <c r="E50" i="29"/>
  <c r="D54" i="29"/>
  <c r="E51" i="29"/>
  <c r="E52" i="29"/>
  <c r="E53" i="29"/>
  <c r="D51" i="29"/>
  <c r="D52" i="29"/>
  <c r="D53" i="29"/>
  <c r="E54" i="29"/>
  <c r="D58" i="29"/>
  <c r="E55" i="29"/>
  <c r="E56" i="29"/>
  <c r="E57" i="29"/>
  <c r="D55" i="29"/>
  <c r="D56" i="29"/>
  <c r="D57" i="29"/>
  <c r="E58" i="29"/>
  <c r="D62" i="29"/>
  <c r="E59" i="29"/>
  <c r="E60" i="29"/>
  <c r="E61" i="29"/>
  <c r="D59" i="29"/>
  <c r="D60" i="29"/>
  <c r="D61" i="29"/>
  <c r="E62" i="29"/>
  <c r="D66" i="29"/>
  <c r="E63" i="29"/>
  <c r="E64" i="29"/>
  <c r="E65" i="29"/>
  <c r="D63" i="29"/>
  <c r="D64" i="29"/>
  <c r="D65" i="29"/>
  <c r="E66" i="29"/>
  <c r="D70" i="29"/>
  <c r="E67" i="29"/>
  <c r="E68" i="29"/>
  <c r="E69" i="29"/>
  <c r="D67" i="29"/>
  <c r="D68" i="29"/>
  <c r="D69" i="29"/>
  <c r="E70" i="29"/>
  <c r="D74" i="29"/>
  <c r="E71" i="29"/>
  <c r="E72" i="29"/>
  <c r="E73" i="29"/>
  <c r="D71" i="29"/>
  <c r="D72" i="29"/>
  <c r="D73" i="29"/>
  <c r="E74" i="29"/>
  <c r="D78" i="29"/>
  <c r="E75" i="29"/>
  <c r="E76" i="29"/>
  <c r="E77" i="29"/>
  <c r="D75" i="29"/>
  <c r="D76" i="29"/>
  <c r="D77" i="29"/>
  <c r="E78" i="29"/>
  <c r="D82" i="29"/>
  <c r="E79" i="29"/>
  <c r="E80" i="29"/>
  <c r="E81" i="29"/>
  <c r="D79" i="29"/>
  <c r="D80" i="29"/>
  <c r="D81" i="29"/>
  <c r="E82" i="29"/>
  <c r="D86" i="29"/>
  <c r="E83" i="29"/>
  <c r="E84" i="29"/>
  <c r="E85" i="29"/>
  <c r="D83" i="29"/>
  <c r="D84" i="29"/>
  <c r="D85" i="29"/>
  <c r="E86" i="29"/>
  <c r="D90" i="29"/>
  <c r="E87" i="29"/>
  <c r="E88" i="29"/>
  <c r="E89" i="29"/>
  <c r="D87" i="29"/>
  <c r="D88" i="29"/>
  <c r="D89" i="29"/>
  <c r="E90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R27" i="29"/>
  <c r="H27" i="29"/>
  <c r="S27" i="29" s="1"/>
  <c r="H28" i="29"/>
  <c r="H29" i="29"/>
  <c r="S29" i="29" s="1"/>
  <c r="H30" i="29"/>
  <c r="J30" i="29" s="1"/>
  <c r="H31" i="29"/>
  <c r="J31" i="29" s="1"/>
  <c r="H32" i="29"/>
  <c r="J32" i="29" s="1"/>
  <c r="R33" i="29"/>
  <c r="H33" i="29"/>
  <c r="J33" i="29" s="1"/>
  <c r="H34" i="29"/>
  <c r="J34" i="29" s="1"/>
  <c r="H35" i="29"/>
  <c r="J35" i="29" s="1"/>
  <c r="H36" i="29"/>
  <c r="J36" i="29" s="1"/>
  <c r="H37" i="29"/>
  <c r="J37" i="29" s="1"/>
  <c r="H38" i="29"/>
  <c r="J38" i="29" s="1"/>
  <c r="H39" i="29"/>
  <c r="S39" i="29" s="1"/>
  <c r="H40" i="29"/>
  <c r="J40" i="29" s="1"/>
  <c r="H41" i="29"/>
  <c r="S41" i="29" s="1"/>
  <c r="H42" i="29"/>
  <c r="H43" i="29"/>
  <c r="H44" i="29"/>
  <c r="J44" i="29" s="1"/>
  <c r="H45" i="29"/>
  <c r="J45" i="29" s="1"/>
  <c r="H46" i="29"/>
  <c r="J46" i="29" s="1"/>
  <c r="H47" i="29"/>
  <c r="J47" i="29" s="1"/>
  <c r="H48" i="29"/>
  <c r="J48" i="29" s="1"/>
  <c r="H49" i="29"/>
  <c r="S49" i="29" s="1"/>
  <c r="H50" i="29"/>
  <c r="J50" i="29" s="1"/>
  <c r="H51" i="29"/>
  <c r="H52" i="29"/>
  <c r="S52" i="29" s="1"/>
  <c r="R53" i="29"/>
  <c r="H53" i="29"/>
  <c r="H54" i="29"/>
  <c r="J54" i="29" s="1"/>
  <c r="H55" i="29"/>
  <c r="J55" i="29" s="1"/>
  <c r="H56" i="29"/>
  <c r="J56" i="29" s="1"/>
  <c r="H57" i="29"/>
  <c r="J57" i="29" s="1"/>
  <c r="H58" i="29"/>
  <c r="J58" i="29" s="1"/>
  <c r="H59" i="29"/>
  <c r="J59" i="29" s="1"/>
  <c r="H60" i="29"/>
  <c r="J60" i="29" s="1"/>
  <c r="H61" i="29"/>
  <c r="S61" i="29" s="1"/>
  <c r="H62" i="29"/>
  <c r="J62" i="29" s="1"/>
  <c r="H63" i="29"/>
  <c r="J63" i="29" s="1"/>
  <c r="H64" i="29"/>
  <c r="J64" i="29" s="1"/>
  <c r="H65" i="29"/>
  <c r="H66" i="29"/>
  <c r="J66" i="29" s="1"/>
  <c r="H67" i="29"/>
  <c r="J67" i="29" s="1"/>
  <c r="H68" i="29"/>
  <c r="J68" i="29" s="1"/>
  <c r="H69" i="29"/>
  <c r="J69" i="29" s="1"/>
  <c r="H70" i="29"/>
  <c r="J70" i="29" s="1"/>
  <c r="H71" i="29"/>
  <c r="J71" i="29" s="1"/>
  <c r="H72" i="29"/>
  <c r="J72" i="29" s="1"/>
  <c r="H73" i="29"/>
  <c r="J73" i="29" s="1"/>
  <c r="H74" i="29"/>
  <c r="J74" i="29" s="1"/>
  <c r="H75" i="29"/>
  <c r="J75" i="29" s="1"/>
  <c r="H76" i="29"/>
  <c r="J76" i="29" s="1"/>
  <c r="H77" i="29"/>
  <c r="J77" i="29" s="1"/>
  <c r="H78" i="29"/>
  <c r="S78" i="29" s="1"/>
  <c r="H79" i="29"/>
  <c r="H80" i="29"/>
  <c r="J80" i="29" s="1"/>
  <c r="H81" i="29"/>
  <c r="J81" i="29"/>
  <c r="H82" i="29"/>
  <c r="J82" i="29" s="1"/>
  <c r="R83" i="29"/>
  <c r="H83" i="29"/>
  <c r="H84" i="29"/>
  <c r="J84" i="29" s="1"/>
  <c r="H85" i="29"/>
  <c r="J85" i="29" s="1"/>
  <c r="H86" i="29"/>
  <c r="J86" i="29" s="1"/>
  <c r="H87" i="29"/>
  <c r="J87" i="29" s="1"/>
  <c r="H88" i="29"/>
  <c r="J88" i="29" s="1"/>
  <c r="H89" i="29"/>
  <c r="J89" i="29" s="1"/>
  <c r="H90" i="29"/>
  <c r="J90" i="29" s="1"/>
  <c r="I27" i="29"/>
  <c r="I28" i="29"/>
  <c r="I29" i="29"/>
  <c r="T29" i="29" s="1"/>
  <c r="I30" i="29"/>
  <c r="I31" i="29"/>
  <c r="I32" i="29"/>
  <c r="T32" i="29" s="1"/>
  <c r="I33" i="29"/>
  <c r="I34" i="29"/>
  <c r="T34" i="29" s="1"/>
  <c r="I35" i="29"/>
  <c r="I36" i="29"/>
  <c r="T36" i="29" s="1"/>
  <c r="I37" i="29"/>
  <c r="T37" i="29" s="1"/>
  <c r="I38" i="29"/>
  <c r="T38" i="29" s="1"/>
  <c r="I39" i="29"/>
  <c r="I40" i="29"/>
  <c r="T40" i="29" s="1"/>
  <c r="I41" i="29"/>
  <c r="T41" i="29" s="1"/>
  <c r="I42" i="29"/>
  <c r="I43" i="29"/>
  <c r="T43" i="29" s="1"/>
  <c r="I44" i="29"/>
  <c r="I45" i="29"/>
  <c r="T45" i="29" s="1"/>
  <c r="I46" i="29"/>
  <c r="T46" i="29" s="1"/>
  <c r="I47" i="29"/>
  <c r="T47" i="29" s="1"/>
  <c r="T110" i="29" s="1"/>
  <c r="G44" i="9" s="1"/>
  <c r="I48" i="29"/>
  <c r="T48" i="29" s="1"/>
  <c r="I49" i="29"/>
  <c r="T49" i="29" s="1"/>
  <c r="I50" i="29"/>
  <c r="T50" i="29" s="1"/>
  <c r="I51" i="29"/>
  <c r="I52" i="29"/>
  <c r="T52" i="29" s="1"/>
  <c r="I53" i="29"/>
  <c r="T53" i="29" s="1"/>
  <c r="I54" i="29"/>
  <c r="I55" i="29"/>
  <c r="I56" i="29"/>
  <c r="I57" i="29"/>
  <c r="I58" i="29"/>
  <c r="T58" i="29" s="1"/>
  <c r="I59" i="29"/>
  <c r="I60" i="29"/>
  <c r="T60" i="29" s="1"/>
  <c r="I61" i="29"/>
  <c r="T61" i="29" s="1"/>
  <c r="I62" i="29"/>
  <c r="T62" i="29" s="1"/>
  <c r="I63" i="29"/>
  <c r="I64" i="29"/>
  <c r="T64" i="29" s="1"/>
  <c r="I65" i="29"/>
  <c r="T65" i="29" s="1"/>
  <c r="I66" i="29"/>
  <c r="I67" i="29"/>
  <c r="I68" i="29"/>
  <c r="I69" i="29"/>
  <c r="T69" i="29" s="1"/>
  <c r="I70" i="29"/>
  <c r="I71" i="29"/>
  <c r="T71" i="29" s="1"/>
  <c r="I72" i="29"/>
  <c r="I73" i="29"/>
  <c r="T73" i="29" s="1"/>
  <c r="I74" i="29"/>
  <c r="I75" i="29"/>
  <c r="I76" i="29"/>
  <c r="I77" i="29"/>
  <c r="I78" i="29"/>
  <c r="I79" i="29"/>
  <c r="I80" i="29"/>
  <c r="I81" i="29"/>
  <c r="I82" i="29"/>
  <c r="T82" i="29" s="1"/>
  <c r="I83" i="29"/>
  <c r="T83" i="29" s="1"/>
  <c r="I84" i="29"/>
  <c r="T84" i="29" s="1"/>
  <c r="I85" i="29"/>
  <c r="I86" i="29"/>
  <c r="I87" i="29"/>
  <c r="I88" i="29"/>
  <c r="I89" i="29"/>
  <c r="I90" i="29"/>
  <c r="R43" i="29"/>
  <c r="D94" i="29"/>
  <c r="E91" i="29"/>
  <c r="E92" i="29"/>
  <c r="E93" i="29"/>
  <c r="D91" i="29"/>
  <c r="D92" i="29"/>
  <c r="D93" i="29"/>
  <c r="E94" i="29"/>
  <c r="D98" i="29"/>
  <c r="E95" i="29"/>
  <c r="E96" i="29"/>
  <c r="E97" i="29"/>
  <c r="D95" i="29"/>
  <c r="D96" i="29"/>
  <c r="D97" i="29"/>
  <c r="E98" i="29"/>
  <c r="D102" i="29"/>
  <c r="E99" i="29"/>
  <c r="E100" i="29"/>
  <c r="E101" i="29"/>
  <c r="D99" i="29"/>
  <c r="D100" i="29"/>
  <c r="D101" i="29"/>
  <c r="E102" i="29"/>
  <c r="D106" i="29"/>
  <c r="E103" i="29"/>
  <c r="E104" i="29"/>
  <c r="E105" i="29"/>
  <c r="D103" i="29"/>
  <c r="D104" i="29"/>
  <c r="D105" i="29"/>
  <c r="E106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G91" i="29"/>
  <c r="G92" i="29"/>
  <c r="G93" i="29"/>
  <c r="G94" i="29"/>
  <c r="G95" i="29"/>
  <c r="G96" i="29"/>
  <c r="G97" i="29"/>
  <c r="G98" i="29"/>
  <c r="G99" i="29"/>
  <c r="G100" i="29"/>
  <c r="G101" i="29"/>
  <c r="G102" i="29"/>
  <c r="G103" i="29"/>
  <c r="G104" i="29"/>
  <c r="G105" i="29"/>
  <c r="G106" i="29"/>
  <c r="H91" i="29"/>
  <c r="J91" i="29" s="1"/>
  <c r="H92" i="29"/>
  <c r="J92" i="29" s="1"/>
  <c r="H93" i="29"/>
  <c r="J93" i="29" s="1"/>
  <c r="H94" i="29"/>
  <c r="J94" i="29" s="1"/>
  <c r="H95" i="29"/>
  <c r="J95" i="29" s="1"/>
  <c r="H96" i="29"/>
  <c r="J96" i="29" s="1"/>
  <c r="H97" i="29"/>
  <c r="J97" i="29" s="1"/>
  <c r="H98" i="29"/>
  <c r="J98" i="29" s="1"/>
  <c r="H99" i="29"/>
  <c r="J99" i="29" s="1"/>
  <c r="H100" i="29"/>
  <c r="J100" i="29" s="1"/>
  <c r="H101" i="29"/>
  <c r="J101" i="29" s="1"/>
  <c r="H102" i="29"/>
  <c r="J102" i="29" s="1"/>
  <c r="H103" i="29"/>
  <c r="S103" i="29" s="1"/>
  <c r="H104" i="29"/>
  <c r="H105" i="29"/>
  <c r="S105" i="29" s="1"/>
  <c r="H106" i="29"/>
  <c r="I91" i="29"/>
  <c r="I92" i="29"/>
  <c r="I93" i="29"/>
  <c r="I94" i="29"/>
  <c r="I95" i="29"/>
  <c r="I96" i="29"/>
  <c r="T96" i="29" s="1"/>
  <c r="I97" i="29"/>
  <c r="I98" i="29"/>
  <c r="I99" i="29"/>
  <c r="T99" i="29" s="1"/>
  <c r="I100" i="29"/>
  <c r="I101" i="29"/>
  <c r="T101" i="29" s="1"/>
  <c r="I102" i="29"/>
  <c r="T102" i="29" s="1"/>
  <c r="I103" i="29"/>
  <c r="T103" i="29" s="1"/>
  <c r="I104" i="29"/>
  <c r="T104" i="29" s="1"/>
  <c r="I105" i="29"/>
  <c r="T105" i="29" s="1"/>
  <c r="I106" i="29"/>
  <c r="D30" i="25"/>
  <c r="E27" i="25"/>
  <c r="E28" i="25"/>
  <c r="E29" i="25"/>
  <c r="D27" i="25"/>
  <c r="D28" i="25"/>
  <c r="D29" i="25"/>
  <c r="E30" i="25"/>
  <c r="D34" i="25"/>
  <c r="E31" i="25"/>
  <c r="E32" i="25"/>
  <c r="E33" i="25"/>
  <c r="D31" i="25"/>
  <c r="D32" i="25"/>
  <c r="D33" i="25"/>
  <c r="E34" i="25"/>
  <c r="D38" i="25"/>
  <c r="E35" i="25"/>
  <c r="E36" i="25"/>
  <c r="E37" i="25"/>
  <c r="D35" i="25"/>
  <c r="D36" i="25"/>
  <c r="D37" i="25"/>
  <c r="E38" i="25"/>
  <c r="D42" i="25"/>
  <c r="E39" i="25"/>
  <c r="E40" i="25"/>
  <c r="E41" i="25"/>
  <c r="D39" i="25"/>
  <c r="D40" i="25"/>
  <c r="D41" i="25"/>
  <c r="E42" i="25"/>
  <c r="D46" i="25"/>
  <c r="E43" i="25"/>
  <c r="E44" i="25"/>
  <c r="E45" i="25"/>
  <c r="D43" i="25"/>
  <c r="D44" i="25"/>
  <c r="D45" i="25"/>
  <c r="E46" i="25"/>
  <c r="D50" i="25"/>
  <c r="E47" i="25"/>
  <c r="E48" i="25"/>
  <c r="E49" i="25"/>
  <c r="D47" i="25"/>
  <c r="D48" i="25"/>
  <c r="D49" i="25"/>
  <c r="E50" i="25"/>
  <c r="D54" i="25"/>
  <c r="E51" i="25"/>
  <c r="E52" i="25"/>
  <c r="E53" i="25"/>
  <c r="D51" i="25"/>
  <c r="D52" i="25"/>
  <c r="D53" i="25"/>
  <c r="E54" i="25"/>
  <c r="D58" i="25"/>
  <c r="E55" i="25"/>
  <c r="E56" i="25"/>
  <c r="E57" i="25"/>
  <c r="D55" i="25"/>
  <c r="D56" i="25"/>
  <c r="D57" i="25"/>
  <c r="E58" i="25"/>
  <c r="D62" i="25"/>
  <c r="E59" i="25"/>
  <c r="E60" i="25"/>
  <c r="E61" i="25"/>
  <c r="D59" i="25"/>
  <c r="D60" i="25"/>
  <c r="D61" i="25"/>
  <c r="E62" i="25"/>
  <c r="D66" i="25"/>
  <c r="E63" i="25"/>
  <c r="E64" i="25"/>
  <c r="E65" i="25"/>
  <c r="D63" i="25"/>
  <c r="D64" i="25"/>
  <c r="D65" i="25"/>
  <c r="E66" i="25"/>
  <c r="D70" i="25"/>
  <c r="E67" i="25"/>
  <c r="E68" i="25"/>
  <c r="E69" i="25"/>
  <c r="D67" i="25"/>
  <c r="D68" i="25"/>
  <c r="D69" i="25"/>
  <c r="E70" i="25"/>
  <c r="D74" i="25"/>
  <c r="E71" i="25"/>
  <c r="E72" i="25"/>
  <c r="E73" i="25"/>
  <c r="D71" i="25"/>
  <c r="D72" i="25"/>
  <c r="D73" i="25"/>
  <c r="E74" i="25"/>
  <c r="D78" i="25"/>
  <c r="E75" i="25"/>
  <c r="E76" i="25"/>
  <c r="E77" i="25"/>
  <c r="D75" i="25"/>
  <c r="D76" i="25"/>
  <c r="D77" i="25"/>
  <c r="E78" i="25"/>
  <c r="D82" i="25"/>
  <c r="E79" i="25"/>
  <c r="E80" i="25"/>
  <c r="E81" i="25"/>
  <c r="D79" i="25"/>
  <c r="D80" i="25"/>
  <c r="D81" i="25"/>
  <c r="E82" i="25"/>
  <c r="D86" i="25"/>
  <c r="E83" i="25"/>
  <c r="E84" i="25"/>
  <c r="E85" i="25"/>
  <c r="D83" i="25"/>
  <c r="D84" i="25"/>
  <c r="D85" i="25"/>
  <c r="E86" i="25"/>
  <c r="D90" i="25"/>
  <c r="E87" i="25"/>
  <c r="E88" i="25"/>
  <c r="E89" i="25"/>
  <c r="D87" i="25"/>
  <c r="D88" i="25"/>
  <c r="D89" i="25"/>
  <c r="E90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H27" i="25"/>
  <c r="J27" i="25" s="1"/>
  <c r="H28" i="25"/>
  <c r="S28" i="25" s="1"/>
  <c r="H29" i="25"/>
  <c r="J29" i="25" s="1"/>
  <c r="H30" i="25"/>
  <c r="S30" i="25" s="1"/>
  <c r="H31" i="25"/>
  <c r="J31" i="25" s="1"/>
  <c r="H32" i="25"/>
  <c r="J32" i="25" s="1"/>
  <c r="H33" i="25"/>
  <c r="S33" i="25" s="1"/>
  <c r="H34" i="25"/>
  <c r="J34" i="25" s="1"/>
  <c r="H35" i="25"/>
  <c r="J35" i="25" s="1"/>
  <c r="H36" i="25"/>
  <c r="J36" i="25" s="1"/>
  <c r="H37" i="25"/>
  <c r="J37" i="25" s="1"/>
  <c r="H38" i="25"/>
  <c r="H39" i="25"/>
  <c r="H40" i="25"/>
  <c r="J40" i="25" s="1"/>
  <c r="H41" i="25"/>
  <c r="J41" i="25" s="1"/>
  <c r="H42" i="25"/>
  <c r="J42" i="25" s="1"/>
  <c r="H43" i="25"/>
  <c r="S43" i="25" s="1"/>
  <c r="H44" i="25"/>
  <c r="J44" i="25" s="1"/>
  <c r="H45" i="25"/>
  <c r="J45" i="25" s="1"/>
  <c r="H46" i="25"/>
  <c r="S46" i="25" s="1"/>
  <c r="H47" i="25"/>
  <c r="J47" i="25" s="1"/>
  <c r="H48" i="25"/>
  <c r="J48" i="25" s="1"/>
  <c r="H49" i="25"/>
  <c r="J49" i="25" s="1"/>
  <c r="H50" i="25"/>
  <c r="J50" i="25" s="1"/>
  <c r="H51" i="25"/>
  <c r="J51" i="25" s="1"/>
  <c r="H52" i="25"/>
  <c r="H53" i="25"/>
  <c r="J53" i="25" s="1"/>
  <c r="H54" i="25"/>
  <c r="H55" i="25"/>
  <c r="J55" i="25" s="1"/>
  <c r="H56" i="25"/>
  <c r="H57" i="25"/>
  <c r="S57" i="25" s="1"/>
  <c r="H58" i="25"/>
  <c r="J58" i="25" s="1"/>
  <c r="H59" i="25"/>
  <c r="J59" i="25" s="1"/>
  <c r="H60" i="25"/>
  <c r="J60" i="25" s="1"/>
  <c r="H61" i="25"/>
  <c r="J61" i="25" s="1"/>
  <c r="H62" i="25"/>
  <c r="J62" i="25" s="1"/>
  <c r="R63" i="25"/>
  <c r="H63" i="25"/>
  <c r="J63" i="25" s="1"/>
  <c r="H64" i="25"/>
  <c r="J64" i="25" s="1"/>
  <c r="H65" i="25"/>
  <c r="J65" i="25" s="1"/>
  <c r="H66" i="25"/>
  <c r="S66" i="25" s="1"/>
  <c r="H67" i="25"/>
  <c r="J67" i="25" s="1"/>
  <c r="H68" i="25"/>
  <c r="J68" i="25" s="1"/>
  <c r="H69" i="25"/>
  <c r="J69" i="25" s="1"/>
  <c r="H70" i="25"/>
  <c r="H71" i="25"/>
  <c r="S71" i="25" s="1"/>
  <c r="H72" i="25"/>
  <c r="J72" i="25" s="1"/>
  <c r="H73" i="25"/>
  <c r="J73" i="25" s="1"/>
  <c r="H74" i="25"/>
  <c r="J74" i="25" s="1"/>
  <c r="H75" i="25"/>
  <c r="H76" i="25"/>
  <c r="S76" i="25" s="1"/>
  <c r="H77" i="25"/>
  <c r="J77" i="25" s="1"/>
  <c r="H78" i="25"/>
  <c r="S78" i="25" s="1"/>
  <c r="H79" i="25"/>
  <c r="H80" i="25"/>
  <c r="J80" i="25" s="1"/>
  <c r="H81" i="25"/>
  <c r="J81" i="25" s="1"/>
  <c r="H82" i="25"/>
  <c r="J82" i="25" s="1"/>
  <c r="H83" i="25"/>
  <c r="J83" i="25" s="1"/>
  <c r="H84" i="25"/>
  <c r="J84" i="25" s="1"/>
  <c r="H85" i="25"/>
  <c r="H86" i="25"/>
  <c r="J86" i="25" s="1"/>
  <c r="H87" i="25"/>
  <c r="J87" i="25" s="1"/>
  <c r="H88" i="25"/>
  <c r="S88" i="25" s="1"/>
  <c r="H89" i="25"/>
  <c r="S89" i="25" s="1"/>
  <c r="H90" i="25"/>
  <c r="J90" i="25" s="1"/>
  <c r="I27" i="25"/>
  <c r="I28" i="25"/>
  <c r="I29" i="25"/>
  <c r="I30" i="25"/>
  <c r="I31" i="25"/>
  <c r="I32" i="25"/>
  <c r="I33" i="25"/>
  <c r="I34" i="25"/>
  <c r="I35" i="25"/>
  <c r="T35" i="25" s="1"/>
  <c r="I36" i="25"/>
  <c r="T36" i="25" s="1"/>
  <c r="I37" i="25"/>
  <c r="T37" i="25" s="1"/>
  <c r="I38" i="25"/>
  <c r="I39" i="25"/>
  <c r="I40" i="25"/>
  <c r="T40" i="25" s="1"/>
  <c r="I41" i="25"/>
  <c r="T41" i="25" s="1"/>
  <c r="I42" i="25"/>
  <c r="I43" i="25"/>
  <c r="I44" i="25"/>
  <c r="I45" i="25"/>
  <c r="I46" i="25"/>
  <c r="I47" i="25"/>
  <c r="I48" i="25"/>
  <c r="T48" i="25" s="1"/>
  <c r="I49" i="25"/>
  <c r="T49" i="25" s="1"/>
  <c r="I50" i="25"/>
  <c r="I51" i="25"/>
  <c r="I52" i="25"/>
  <c r="T52" i="25" s="1"/>
  <c r="I53" i="25"/>
  <c r="I54" i="25"/>
  <c r="I55" i="25"/>
  <c r="T55" i="25" s="1"/>
  <c r="I56" i="25"/>
  <c r="I57" i="25"/>
  <c r="T57" i="25" s="1"/>
  <c r="I58" i="25"/>
  <c r="I59" i="25"/>
  <c r="T59" i="25" s="1"/>
  <c r="I60" i="25"/>
  <c r="T60" i="25" s="1"/>
  <c r="I61" i="25"/>
  <c r="T61" i="25" s="1"/>
  <c r="I62" i="25"/>
  <c r="I63" i="25"/>
  <c r="I64" i="25"/>
  <c r="I65" i="25"/>
  <c r="I66" i="25"/>
  <c r="I67" i="25"/>
  <c r="T67" i="25" s="1"/>
  <c r="I68" i="25"/>
  <c r="I69" i="25"/>
  <c r="T69" i="25" s="1"/>
  <c r="I70" i="25"/>
  <c r="I71" i="25"/>
  <c r="I72" i="25"/>
  <c r="T72" i="25" s="1"/>
  <c r="I73" i="25"/>
  <c r="I74" i="25"/>
  <c r="T74" i="25" s="1"/>
  <c r="I75" i="25"/>
  <c r="I76" i="25"/>
  <c r="T76" i="25" s="1"/>
  <c r="I77" i="25"/>
  <c r="I78" i="25"/>
  <c r="I79" i="25"/>
  <c r="I80" i="25"/>
  <c r="I81" i="25"/>
  <c r="I82" i="25"/>
  <c r="I83" i="25"/>
  <c r="I84" i="25"/>
  <c r="T84" i="25" s="1"/>
  <c r="I85" i="25"/>
  <c r="T85" i="25" s="1"/>
  <c r="I86" i="25"/>
  <c r="T86" i="25" s="1"/>
  <c r="I87" i="25"/>
  <c r="T87" i="25" s="1"/>
  <c r="I88" i="25"/>
  <c r="T88" i="25" s="1"/>
  <c r="I89" i="25"/>
  <c r="I90" i="25"/>
  <c r="R73" i="25"/>
  <c r="D94" i="25"/>
  <c r="E91" i="25"/>
  <c r="E92" i="25"/>
  <c r="E93" i="25"/>
  <c r="D91" i="25"/>
  <c r="D92" i="25"/>
  <c r="D93" i="25"/>
  <c r="E94" i="25"/>
  <c r="D98" i="25"/>
  <c r="E95" i="25"/>
  <c r="E96" i="25"/>
  <c r="E97" i="25"/>
  <c r="D95" i="25"/>
  <c r="D96" i="25"/>
  <c r="D97" i="25"/>
  <c r="E98" i="25"/>
  <c r="D102" i="25"/>
  <c r="E99" i="25"/>
  <c r="E100" i="25"/>
  <c r="E101" i="25"/>
  <c r="D99" i="25"/>
  <c r="D100" i="25"/>
  <c r="D101" i="25"/>
  <c r="E102" i="25"/>
  <c r="D106" i="25"/>
  <c r="E103" i="25"/>
  <c r="E104" i="25"/>
  <c r="E105" i="25"/>
  <c r="D103" i="25"/>
  <c r="D104" i="25"/>
  <c r="D105" i="25"/>
  <c r="E106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H91" i="25"/>
  <c r="J91" i="25" s="1"/>
  <c r="H92" i="25"/>
  <c r="J92" i="25" s="1"/>
  <c r="H93" i="25"/>
  <c r="J93" i="25" s="1"/>
  <c r="H94" i="25"/>
  <c r="J94" i="25" s="1"/>
  <c r="H95" i="25"/>
  <c r="S95" i="25" s="1"/>
  <c r="H96" i="25"/>
  <c r="J96" i="25" s="1"/>
  <c r="H97" i="25"/>
  <c r="J97" i="25" s="1"/>
  <c r="H98" i="25"/>
  <c r="J98" i="25" s="1"/>
  <c r="H99" i="25"/>
  <c r="J99" i="25" s="1"/>
  <c r="H100" i="25"/>
  <c r="J100" i="25" s="1"/>
  <c r="H101" i="25"/>
  <c r="S101" i="25" s="1"/>
  <c r="H102" i="25"/>
  <c r="J102" i="25" s="1"/>
  <c r="H103" i="25"/>
  <c r="H104" i="25"/>
  <c r="S104" i="25" s="1"/>
  <c r="H105" i="25"/>
  <c r="S105" i="25" s="1"/>
  <c r="H106" i="25"/>
  <c r="J106" i="25" s="1"/>
  <c r="I91" i="25"/>
  <c r="I92" i="25"/>
  <c r="I93" i="25"/>
  <c r="I94" i="25"/>
  <c r="I95" i="25"/>
  <c r="I96" i="25"/>
  <c r="T96" i="25" s="1"/>
  <c r="I97" i="25"/>
  <c r="T97" i="25" s="1"/>
  <c r="I98" i="25"/>
  <c r="I99" i="25"/>
  <c r="I100" i="25"/>
  <c r="I101" i="25"/>
  <c r="T101" i="25" s="1"/>
  <c r="I102" i="25"/>
  <c r="T102" i="25" s="1"/>
  <c r="I103" i="25"/>
  <c r="T103" i="25" s="1"/>
  <c r="I104" i="25"/>
  <c r="I105" i="25"/>
  <c r="I106" i="25"/>
  <c r="L6" i="20"/>
  <c r="L5" i="20"/>
  <c r="L4" i="20"/>
  <c r="L3" i="20"/>
  <c r="M3" i="20"/>
  <c r="M4" i="20"/>
  <c r="M5" i="20"/>
  <c r="M6" i="20"/>
  <c r="D6" i="20"/>
  <c r="E3" i="20"/>
  <c r="E4" i="20"/>
  <c r="E5" i="20"/>
  <c r="D3" i="20"/>
  <c r="D4" i="20"/>
  <c r="D5" i="20"/>
  <c r="E6" i="20"/>
  <c r="L10" i="20"/>
  <c r="L9" i="20"/>
  <c r="L8" i="20"/>
  <c r="L7" i="20"/>
  <c r="M7" i="20"/>
  <c r="M8" i="20"/>
  <c r="M9" i="20"/>
  <c r="M10" i="20"/>
  <c r="D10" i="20"/>
  <c r="E7" i="20"/>
  <c r="E8" i="20"/>
  <c r="E9" i="20"/>
  <c r="D7" i="20"/>
  <c r="D8" i="20"/>
  <c r="D9" i="20"/>
  <c r="E10" i="20"/>
  <c r="L14" i="20"/>
  <c r="L13" i="20"/>
  <c r="L12" i="20"/>
  <c r="L11" i="20"/>
  <c r="M11" i="20"/>
  <c r="M12" i="20"/>
  <c r="M13" i="20"/>
  <c r="M14" i="20"/>
  <c r="D14" i="20"/>
  <c r="E11" i="20"/>
  <c r="E12" i="20"/>
  <c r="E13" i="20"/>
  <c r="D11" i="20"/>
  <c r="D12" i="20"/>
  <c r="D13" i="20"/>
  <c r="E14" i="20"/>
  <c r="L18" i="20"/>
  <c r="L17" i="20"/>
  <c r="L16" i="20"/>
  <c r="L15" i="20"/>
  <c r="M15" i="20"/>
  <c r="M16" i="20"/>
  <c r="M17" i="20"/>
  <c r="M18" i="20"/>
  <c r="D18" i="20"/>
  <c r="E15" i="20"/>
  <c r="E16" i="20"/>
  <c r="E17" i="20"/>
  <c r="D15" i="20"/>
  <c r="D16" i="20"/>
  <c r="D17" i="20"/>
  <c r="E18" i="20"/>
  <c r="L22" i="20"/>
  <c r="L21" i="20"/>
  <c r="L20" i="20"/>
  <c r="L19" i="20"/>
  <c r="M19" i="20"/>
  <c r="M20" i="20"/>
  <c r="M21" i="20"/>
  <c r="M22" i="20"/>
  <c r="D22" i="20"/>
  <c r="E19" i="20"/>
  <c r="E20" i="20"/>
  <c r="E21" i="20"/>
  <c r="D19" i="20"/>
  <c r="D20" i="20"/>
  <c r="D21" i="20"/>
  <c r="E22" i="20"/>
  <c r="L26" i="20"/>
  <c r="L25" i="20"/>
  <c r="L24" i="20"/>
  <c r="L23" i="20"/>
  <c r="M23" i="20"/>
  <c r="M24" i="20"/>
  <c r="M25" i="20"/>
  <c r="M26" i="20"/>
  <c r="D26" i="20"/>
  <c r="E23" i="20"/>
  <c r="E24" i="20"/>
  <c r="E25" i="20"/>
  <c r="D23" i="20"/>
  <c r="D24" i="20"/>
  <c r="D25" i="20"/>
  <c r="E26" i="20"/>
  <c r="D30" i="20"/>
  <c r="E27" i="20"/>
  <c r="E28" i="20"/>
  <c r="E29" i="20"/>
  <c r="D27" i="20"/>
  <c r="D28" i="20"/>
  <c r="D29" i="20"/>
  <c r="E30" i="20"/>
  <c r="D34" i="20"/>
  <c r="E31" i="20"/>
  <c r="E32" i="20"/>
  <c r="E33" i="20"/>
  <c r="D31" i="20"/>
  <c r="D32" i="20"/>
  <c r="D33" i="20"/>
  <c r="E34" i="20"/>
  <c r="D38" i="20"/>
  <c r="E35" i="20"/>
  <c r="E36" i="20"/>
  <c r="E37" i="20"/>
  <c r="D35" i="20"/>
  <c r="D36" i="20"/>
  <c r="D37" i="20"/>
  <c r="E38" i="20"/>
  <c r="D42" i="20"/>
  <c r="E39" i="20"/>
  <c r="E40" i="20"/>
  <c r="E41" i="20"/>
  <c r="D39" i="20"/>
  <c r="D40" i="20"/>
  <c r="D41" i="20"/>
  <c r="E42" i="20"/>
  <c r="D46" i="20"/>
  <c r="E43" i="20"/>
  <c r="E44" i="20"/>
  <c r="E45" i="20"/>
  <c r="D43" i="20"/>
  <c r="D44" i="20"/>
  <c r="D45" i="20"/>
  <c r="E46" i="20"/>
  <c r="D50" i="20"/>
  <c r="E47" i="20"/>
  <c r="E48" i="20"/>
  <c r="E49" i="20"/>
  <c r="D47" i="20"/>
  <c r="D48" i="20"/>
  <c r="D49" i="20"/>
  <c r="E50" i="20"/>
  <c r="D54" i="20"/>
  <c r="E51" i="20"/>
  <c r="E52" i="20"/>
  <c r="E53" i="20"/>
  <c r="D51" i="20"/>
  <c r="D52" i="20"/>
  <c r="D53" i="20"/>
  <c r="E54" i="20"/>
  <c r="D58" i="20"/>
  <c r="E55" i="20"/>
  <c r="E56" i="20"/>
  <c r="E57" i="20"/>
  <c r="D55" i="20"/>
  <c r="D56" i="20"/>
  <c r="D57" i="20"/>
  <c r="E58" i="20"/>
  <c r="D62" i="20"/>
  <c r="E59" i="20"/>
  <c r="E60" i="20"/>
  <c r="E61" i="20"/>
  <c r="D59" i="20"/>
  <c r="D60" i="20"/>
  <c r="D61" i="20"/>
  <c r="E62" i="20"/>
  <c r="D66" i="20"/>
  <c r="E63" i="20"/>
  <c r="E64" i="20"/>
  <c r="E65" i="20"/>
  <c r="D63" i="20"/>
  <c r="D64" i="20"/>
  <c r="D65" i="20"/>
  <c r="E66" i="20"/>
  <c r="D70" i="20"/>
  <c r="E67" i="20"/>
  <c r="E68" i="20"/>
  <c r="E69" i="20"/>
  <c r="D67" i="20"/>
  <c r="D68" i="20"/>
  <c r="D69" i="20"/>
  <c r="E70" i="20"/>
  <c r="D74" i="20"/>
  <c r="E71" i="20"/>
  <c r="E72" i="20"/>
  <c r="E73" i="20"/>
  <c r="D71" i="20"/>
  <c r="D72" i="20"/>
  <c r="D73" i="20"/>
  <c r="E74" i="20"/>
  <c r="D78" i="20"/>
  <c r="E75" i="20"/>
  <c r="E76" i="20"/>
  <c r="E77" i="20"/>
  <c r="D75" i="20"/>
  <c r="D76" i="20"/>
  <c r="D77" i="20"/>
  <c r="E78" i="20"/>
  <c r="N3" i="20"/>
  <c r="N4" i="20"/>
  <c r="N5" i="20"/>
  <c r="N6" i="20"/>
  <c r="F3" i="20"/>
  <c r="F4" i="20"/>
  <c r="F5" i="20"/>
  <c r="F6" i="20"/>
  <c r="N7" i="20"/>
  <c r="N8" i="20"/>
  <c r="N9" i="20"/>
  <c r="N10" i="20"/>
  <c r="F7" i="20"/>
  <c r="F8" i="20"/>
  <c r="F9" i="20"/>
  <c r="F10" i="20"/>
  <c r="N11" i="20"/>
  <c r="N12" i="20"/>
  <c r="N13" i="20"/>
  <c r="N14" i="20"/>
  <c r="F11" i="20"/>
  <c r="F12" i="20"/>
  <c r="F13" i="20"/>
  <c r="F14" i="20"/>
  <c r="N15" i="20"/>
  <c r="N16" i="20"/>
  <c r="N17" i="20"/>
  <c r="N18" i="20"/>
  <c r="F15" i="20"/>
  <c r="F16" i="20"/>
  <c r="F17" i="20"/>
  <c r="F18" i="20"/>
  <c r="N19" i="20"/>
  <c r="N20" i="20"/>
  <c r="N21" i="20"/>
  <c r="N22" i="20"/>
  <c r="F19" i="20"/>
  <c r="F20" i="20"/>
  <c r="F21" i="20"/>
  <c r="F22" i="20"/>
  <c r="N23" i="20"/>
  <c r="N24" i="20"/>
  <c r="N25" i="20"/>
  <c r="N26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O3" i="20"/>
  <c r="O4" i="20"/>
  <c r="O5" i="20"/>
  <c r="O6" i="20"/>
  <c r="G3" i="20"/>
  <c r="G4" i="20"/>
  <c r="G5" i="20"/>
  <c r="G6" i="20"/>
  <c r="O7" i="20"/>
  <c r="O8" i="20"/>
  <c r="O9" i="20"/>
  <c r="O10" i="20"/>
  <c r="G7" i="20"/>
  <c r="G8" i="20"/>
  <c r="G9" i="20"/>
  <c r="G10" i="20"/>
  <c r="O11" i="20"/>
  <c r="O12" i="20"/>
  <c r="O13" i="20"/>
  <c r="O14" i="20"/>
  <c r="G11" i="20"/>
  <c r="G12" i="20"/>
  <c r="G13" i="20"/>
  <c r="G14" i="20"/>
  <c r="O15" i="20"/>
  <c r="O16" i="20"/>
  <c r="O17" i="20"/>
  <c r="O18" i="20"/>
  <c r="G15" i="20"/>
  <c r="G16" i="20"/>
  <c r="G17" i="20"/>
  <c r="G18" i="20"/>
  <c r="O19" i="20"/>
  <c r="O20" i="20"/>
  <c r="O21" i="20"/>
  <c r="O22" i="20"/>
  <c r="G19" i="20"/>
  <c r="G20" i="20"/>
  <c r="G21" i="20"/>
  <c r="G22" i="20"/>
  <c r="O23" i="20"/>
  <c r="O24" i="20"/>
  <c r="O25" i="20"/>
  <c r="O26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P3" i="20"/>
  <c r="R3" i="20" s="1"/>
  <c r="H3" i="20"/>
  <c r="J3" i="20" s="1"/>
  <c r="P4" i="20"/>
  <c r="R4" i="20" s="1"/>
  <c r="H4" i="20"/>
  <c r="J4" i="20" s="1"/>
  <c r="P5" i="20"/>
  <c r="R5" i="20"/>
  <c r="H5" i="20"/>
  <c r="J5" i="20" s="1"/>
  <c r="P6" i="20"/>
  <c r="R6" i="20" s="1"/>
  <c r="H6" i="20"/>
  <c r="P7" i="20"/>
  <c r="R7" i="20" s="1"/>
  <c r="H7" i="20"/>
  <c r="J7" i="20" s="1"/>
  <c r="P8" i="20"/>
  <c r="R8" i="20" s="1"/>
  <c r="H8" i="20"/>
  <c r="J8" i="20" s="1"/>
  <c r="P9" i="20"/>
  <c r="H9" i="20"/>
  <c r="J9" i="20" s="1"/>
  <c r="P10" i="20"/>
  <c r="R10" i="20" s="1"/>
  <c r="H10" i="20"/>
  <c r="J10" i="20" s="1"/>
  <c r="P11" i="20"/>
  <c r="R11" i="20" s="1"/>
  <c r="H11" i="20"/>
  <c r="J11" i="20" s="1"/>
  <c r="P12" i="20"/>
  <c r="R12" i="20" s="1"/>
  <c r="H12" i="20"/>
  <c r="J12" i="20" s="1"/>
  <c r="P13" i="20"/>
  <c r="R13" i="20" s="1"/>
  <c r="H13" i="20"/>
  <c r="J13" i="20" s="1"/>
  <c r="P14" i="20"/>
  <c r="R14" i="20" s="1"/>
  <c r="H14" i="20"/>
  <c r="P15" i="20"/>
  <c r="R15" i="20" s="1"/>
  <c r="H15" i="20"/>
  <c r="J15" i="20" s="1"/>
  <c r="P16" i="20"/>
  <c r="R16" i="20"/>
  <c r="H16" i="20"/>
  <c r="J16" i="20" s="1"/>
  <c r="P17" i="20"/>
  <c r="H17" i="20"/>
  <c r="J17" i="20" s="1"/>
  <c r="P18" i="20"/>
  <c r="H18" i="20"/>
  <c r="J18" i="20" s="1"/>
  <c r="P19" i="20"/>
  <c r="R19" i="20" s="1"/>
  <c r="H19" i="20"/>
  <c r="J19" i="20" s="1"/>
  <c r="P20" i="20"/>
  <c r="R20" i="20" s="1"/>
  <c r="H20" i="20"/>
  <c r="J20" i="20" s="1"/>
  <c r="P21" i="20"/>
  <c r="R21" i="20" s="1"/>
  <c r="H21" i="20"/>
  <c r="P22" i="20"/>
  <c r="R22" i="20" s="1"/>
  <c r="H22" i="20"/>
  <c r="P23" i="20"/>
  <c r="H23" i="20"/>
  <c r="J23" i="20" s="1"/>
  <c r="P24" i="20"/>
  <c r="H24" i="20"/>
  <c r="J24" i="20" s="1"/>
  <c r="P25" i="20"/>
  <c r="H25" i="20"/>
  <c r="J25" i="20" s="1"/>
  <c r="P26" i="20"/>
  <c r="H26" i="20"/>
  <c r="J26" i="20" s="1"/>
  <c r="H27" i="20"/>
  <c r="J27" i="20" s="1"/>
  <c r="H28" i="20"/>
  <c r="J28" i="20" s="1"/>
  <c r="H29" i="20"/>
  <c r="J29" i="20" s="1"/>
  <c r="H30" i="20"/>
  <c r="J30" i="20" s="1"/>
  <c r="H31" i="20"/>
  <c r="H32" i="20"/>
  <c r="J32" i="20" s="1"/>
  <c r="H33" i="20"/>
  <c r="J33" i="20" s="1"/>
  <c r="H34" i="20"/>
  <c r="J34" i="20" s="1"/>
  <c r="H35" i="20"/>
  <c r="J35" i="20" s="1"/>
  <c r="H36" i="20"/>
  <c r="J36" i="20" s="1"/>
  <c r="H37" i="20"/>
  <c r="J37" i="20" s="1"/>
  <c r="H38" i="20"/>
  <c r="J38" i="20" s="1"/>
  <c r="H39" i="20"/>
  <c r="J39" i="20" s="1"/>
  <c r="H40" i="20"/>
  <c r="J40" i="20" s="1"/>
  <c r="H41" i="20"/>
  <c r="J41" i="20" s="1"/>
  <c r="H42" i="20"/>
  <c r="J42" i="20" s="1"/>
  <c r="H43" i="20"/>
  <c r="J43" i="20" s="1"/>
  <c r="H44" i="20"/>
  <c r="J44" i="20" s="1"/>
  <c r="H45" i="20"/>
  <c r="J45" i="20" s="1"/>
  <c r="H46" i="20"/>
  <c r="J46" i="20" s="1"/>
  <c r="H47" i="20"/>
  <c r="S47" i="20" s="1"/>
  <c r="S110" i="20" s="1"/>
  <c r="F20" i="9" s="1"/>
  <c r="H48" i="20"/>
  <c r="J48" i="20" s="1"/>
  <c r="H49" i="20"/>
  <c r="J49" i="20" s="1"/>
  <c r="H50" i="20"/>
  <c r="J50" i="20" s="1"/>
  <c r="H51" i="20"/>
  <c r="S51" i="20" s="1"/>
  <c r="H52" i="20"/>
  <c r="J52" i="20" s="1"/>
  <c r="H53" i="20"/>
  <c r="J53" i="20" s="1"/>
  <c r="H54" i="20"/>
  <c r="J54" i="20" s="1"/>
  <c r="H55" i="20"/>
  <c r="J55" i="20" s="1"/>
  <c r="H56" i="20"/>
  <c r="H57" i="20"/>
  <c r="J57" i="20" s="1"/>
  <c r="H58" i="20"/>
  <c r="J58" i="20" s="1"/>
  <c r="H59" i="20"/>
  <c r="J59" i="20" s="1"/>
  <c r="H60" i="20"/>
  <c r="S60" i="20" s="1"/>
  <c r="H61" i="20"/>
  <c r="J61" i="20" s="1"/>
  <c r="H62" i="20"/>
  <c r="J62" i="20" s="1"/>
  <c r="H63" i="20"/>
  <c r="J63" i="20" s="1"/>
  <c r="H64" i="20"/>
  <c r="H65" i="20"/>
  <c r="J65" i="20" s="1"/>
  <c r="H66" i="20"/>
  <c r="J66" i="20" s="1"/>
  <c r="H67" i="20"/>
  <c r="J67" i="20" s="1"/>
  <c r="H68" i="20"/>
  <c r="J68" i="20" s="1"/>
  <c r="H69" i="20"/>
  <c r="J69" i="20" s="1"/>
  <c r="H70" i="20"/>
  <c r="S70" i="20" s="1"/>
  <c r="H71" i="20"/>
  <c r="J71" i="20" s="1"/>
  <c r="H72" i="20"/>
  <c r="J72" i="20" s="1"/>
  <c r="H73" i="20"/>
  <c r="J73" i="20" s="1"/>
  <c r="H74" i="20"/>
  <c r="J74" i="20" s="1"/>
  <c r="H75" i="20"/>
  <c r="J75" i="20" s="1"/>
  <c r="H76" i="20"/>
  <c r="J76" i="20" s="1"/>
  <c r="H77" i="20"/>
  <c r="J77" i="20" s="1"/>
  <c r="H78" i="20"/>
  <c r="J78" i="20" s="1"/>
  <c r="Q3" i="20"/>
  <c r="I3" i="20"/>
  <c r="Q4" i="20"/>
  <c r="I4" i="20"/>
  <c r="Q5" i="20"/>
  <c r="I5" i="20"/>
  <c r="Q6" i="20"/>
  <c r="I6" i="20"/>
  <c r="Q7" i="20"/>
  <c r="I7" i="20"/>
  <c r="Q8" i="20"/>
  <c r="I8" i="20"/>
  <c r="Q9" i="20"/>
  <c r="I9" i="20"/>
  <c r="T9" i="20" s="1"/>
  <c r="Q10" i="20"/>
  <c r="I10" i="20"/>
  <c r="Q11" i="20"/>
  <c r="I11" i="20"/>
  <c r="T11" i="20" s="1"/>
  <c r="Q12" i="20"/>
  <c r="I12" i="20"/>
  <c r="Q13" i="20"/>
  <c r="I13" i="20"/>
  <c r="Q14" i="20"/>
  <c r="I14" i="20"/>
  <c r="Q15" i="20"/>
  <c r="I15" i="20"/>
  <c r="Q16" i="20"/>
  <c r="I16" i="20"/>
  <c r="Q17" i="20"/>
  <c r="I17" i="20"/>
  <c r="Q18" i="20"/>
  <c r="T18" i="20" s="1"/>
  <c r="I18" i="20"/>
  <c r="Q19" i="20"/>
  <c r="I19" i="20"/>
  <c r="Q20" i="20"/>
  <c r="I20" i="20"/>
  <c r="Q21" i="20"/>
  <c r="I21" i="20"/>
  <c r="Q22" i="20"/>
  <c r="I22" i="20"/>
  <c r="Q23" i="20"/>
  <c r="I23" i="20"/>
  <c r="T23" i="20" s="1"/>
  <c r="Q24" i="20"/>
  <c r="I24" i="20"/>
  <c r="Q25" i="20"/>
  <c r="I25" i="20"/>
  <c r="Q26" i="20"/>
  <c r="I26" i="20"/>
  <c r="T26" i="20" s="1"/>
  <c r="I27" i="20"/>
  <c r="I28" i="20"/>
  <c r="I29" i="20"/>
  <c r="T29" i="20" s="1"/>
  <c r="I30" i="20"/>
  <c r="T30" i="20" s="1"/>
  <c r="I31" i="20"/>
  <c r="T31" i="20" s="1"/>
  <c r="I32" i="20"/>
  <c r="I33" i="20"/>
  <c r="T33" i="20" s="1"/>
  <c r="I34" i="20"/>
  <c r="I35" i="20"/>
  <c r="I36" i="20"/>
  <c r="I37" i="20"/>
  <c r="I38" i="20"/>
  <c r="I39" i="20"/>
  <c r="I40" i="20"/>
  <c r="I41" i="20"/>
  <c r="T41" i="20" s="1"/>
  <c r="I42" i="20"/>
  <c r="I43" i="20"/>
  <c r="T43" i="20" s="1"/>
  <c r="I44" i="20"/>
  <c r="I45" i="20"/>
  <c r="I46" i="20"/>
  <c r="I47" i="20"/>
  <c r="I48" i="20"/>
  <c r="I49" i="20"/>
  <c r="T49" i="20" s="1"/>
  <c r="I50" i="20"/>
  <c r="I51" i="20"/>
  <c r="I52" i="20"/>
  <c r="T52" i="20" s="1"/>
  <c r="I53" i="20"/>
  <c r="T53" i="20" s="1"/>
  <c r="I54" i="20"/>
  <c r="T54" i="20" s="1"/>
  <c r="I55" i="20"/>
  <c r="T55" i="20" s="1"/>
  <c r="I56" i="20"/>
  <c r="I57" i="20"/>
  <c r="I58" i="20"/>
  <c r="I59" i="20"/>
  <c r="I60" i="20"/>
  <c r="I61" i="20"/>
  <c r="T61" i="20" s="1"/>
  <c r="I62" i="20"/>
  <c r="I63" i="20"/>
  <c r="I64" i="20"/>
  <c r="I65" i="20"/>
  <c r="I66" i="20"/>
  <c r="T66" i="20" s="1"/>
  <c r="I67" i="20"/>
  <c r="I68" i="20"/>
  <c r="T68" i="20" s="1"/>
  <c r="I69" i="20"/>
  <c r="I70" i="20"/>
  <c r="I71" i="20"/>
  <c r="I72" i="20"/>
  <c r="I73" i="20"/>
  <c r="T73" i="20" s="1"/>
  <c r="I74" i="20"/>
  <c r="I75" i="20"/>
  <c r="I76" i="20"/>
  <c r="T76" i="20" s="1"/>
  <c r="I77" i="20"/>
  <c r="T77" i="20" s="1"/>
  <c r="I78" i="20"/>
  <c r="T78" i="20" s="1"/>
  <c r="B42" i="9"/>
  <c r="B30" i="9"/>
  <c r="B18" i="9"/>
  <c r="H91" i="20"/>
  <c r="J91" i="20" s="1"/>
  <c r="H92" i="20"/>
  <c r="J92" i="20" s="1"/>
  <c r="H93" i="20"/>
  <c r="J93" i="20" s="1"/>
  <c r="H94" i="20"/>
  <c r="J94" i="20" s="1"/>
  <c r="H95" i="20"/>
  <c r="H96" i="20"/>
  <c r="J96" i="20" s="1"/>
  <c r="H97" i="20"/>
  <c r="J97" i="20" s="1"/>
  <c r="H98" i="20"/>
  <c r="J98" i="20" s="1"/>
  <c r="H99" i="20"/>
  <c r="H100" i="20"/>
  <c r="J100" i="20" s="1"/>
  <c r="H101" i="20"/>
  <c r="J101" i="20" s="1"/>
  <c r="H102" i="20"/>
  <c r="J102" i="20" s="1"/>
  <c r="H103" i="20"/>
  <c r="H104" i="20"/>
  <c r="J104" i="20" s="1"/>
  <c r="H105" i="20"/>
  <c r="J105" i="20" s="1"/>
  <c r="H106" i="20"/>
  <c r="S106" i="20" s="1"/>
  <c r="I91" i="20"/>
  <c r="I92" i="20"/>
  <c r="I93" i="20"/>
  <c r="T93" i="20" s="1"/>
  <c r="I94" i="20"/>
  <c r="T94" i="20" s="1"/>
  <c r="I95" i="20"/>
  <c r="I96" i="20"/>
  <c r="I97" i="20"/>
  <c r="I98" i="20"/>
  <c r="I99" i="20"/>
  <c r="I100" i="20"/>
  <c r="I101" i="20"/>
  <c r="I102" i="20"/>
  <c r="I103" i="20"/>
  <c r="I104" i="20"/>
  <c r="I105" i="20"/>
  <c r="T105" i="20" s="1"/>
  <c r="I106" i="20"/>
  <c r="D94" i="20"/>
  <c r="G91" i="20"/>
  <c r="G92" i="20"/>
  <c r="G93" i="20"/>
  <c r="D91" i="20"/>
  <c r="D92" i="20"/>
  <c r="D93" i="20"/>
  <c r="G94" i="20"/>
  <c r="D98" i="20"/>
  <c r="G95" i="20"/>
  <c r="G96" i="20"/>
  <c r="G97" i="20"/>
  <c r="D95" i="20"/>
  <c r="D96" i="20"/>
  <c r="D97" i="20"/>
  <c r="G98" i="20"/>
  <c r="D102" i="20"/>
  <c r="G99" i="20"/>
  <c r="G100" i="20"/>
  <c r="G101" i="20"/>
  <c r="D99" i="20"/>
  <c r="D100" i="20"/>
  <c r="D101" i="20"/>
  <c r="G102" i="20"/>
  <c r="D106" i="20"/>
  <c r="G103" i="20"/>
  <c r="G104" i="20"/>
  <c r="G105" i="20"/>
  <c r="D103" i="20"/>
  <c r="D104" i="20"/>
  <c r="D105" i="20"/>
  <c r="G106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Q90" i="27"/>
  <c r="P90" i="27"/>
  <c r="R90" i="27" s="1"/>
  <c r="I90" i="27"/>
  <c r="H90" i="27"/>
  <c r="J90" i="27" s="1"/>
  <c r="O90" i="27"/>
  <c r="N90" i="27"/>
  <c r="M90" i="27"/>
  <c r="L90" i="27"/>
  <c r="G90" i="27"/>
  <c r="F90" i="27"/>
  <c r="E90" i="27"/>
  <c r="D90" i="27"/>
  <c r="Q89" i="27"/>
  <c r="P89" i="27"/>
  <c r="R89" i="27" s="1"/>
  <c r="I89" i="27"/>
  <c r="H89" i="27"/>
  <c r="J89" i="27" s="1"/>
  <c r="O89" i="27"/>
  <c r="N89" i="27"/>
  <c r="M89" i="27"/>
  <c r="L89" i="27"/>
  <c r="G89" i="27"/>
  <c r="F89" i="27"/>
  <c r="E89" i="27"/>
  <c r="D89" i="27"/>
  <c r="Q88" i="27"/>
  <c r="P88" i="27"/>
  <c r="R88" i="27" s="1"/>
  <c r="I88" i="27"/>
  <c r="H88" i="27"/>
  <c r="J88" i="27" s="1"/>
  <c r="O88" i="27"/>
  <c r="N88" i="27"/>
  <c r="M88" i="27"/>
  <c r="L88" i="27"/>
  <c r="G88" i="27"/>
  <c r="F88" i="27"/>
  <c r="E88" i="27"/>
  <c r="D88" i="27"/>
  <c r="L87" i="27"/>
  <c r="O87" i="27"/>
  <c r="N87" i="27"/>
  <c r="M87" i="27"/>
  <c r="Q87" i="27"/>
  <c r="P87" i="27"/>
  <c r="R87" i="27"/>
  <c r="D87" i="27"/>
  <c r="G87" i="27"/>
  <c r="F87" i="27"/>
  <c r="E87" i="27"/>
  <c r="I87" i="27"/>
  <c r="H87" i="27"/>
  <c r="J87" i="27" s="1"/>
  <c r="Q86" i="27"/>
  <c r="P86" i="27"/>
  <c r="I86" i="27"/>
  <c r="T86" i="27" s="1"/>
  <c r="H86" i="27"/>
  <c r="J86" i="27" s="1"/>
  <c r="O86" i="27"/>
  <c r="N86" i="27"/>
  <c r="M86" i="27"/>
  <c r="L86" i="27"/>
  <c r="G86" i="27"/>
  <c r="F86" i="27"/>
  <c r="E86" i="27"/>
  <c r="D86" i="27"/>
  <c r="Q85" i="27"/>
  <c r="P85" i="27"/>
  <c r="R85" i="27" s="1"/>
  <c r="I85" i="27"/>
  <c r="H85" i="27"/>
  <c r="J85" i="27" s="1"/>
  <c r="O85" i="27"/>
  <c r="N85" i="27"/>
  <c r="M85" i="27"/>
  <c r="L85" i="27"/>
  <c r="G85" i="27"/>
  <c r="F85" i="27"/>
  <c r="E85" i="27"/>
  <c r="D85" i="27"/>
  <c r="Q84" i="27"/>
  <c r="P84" i="27"/>
  <c r="I84" i="27"/>
  <c r="T84" i="27" s="1"/>
  <c r="H84" i="27"/>
  <c r="J84" i="27" s="1"/>
  <c r="O84" i="27"/>
  <c r="N84" i="27"/>
  <c r="M84" i="27"/>
  <c r="L84" i="27"/>
  <c r="G84" i="27"/>
  <c r="F84" i="27"/>
  <c r="E84" i="27"/>
  <c r="D84" i="27"/>
  <c r="L83" i="27"/>
  <c r="O83" i="27"/>
  <c r="N83" i="27"/>
  <c r="M83" i="27"/>
  <c r="Q83" i="27"/>
  <c r="P83" i="27"/>
  <c r="R83" i="27" s="1"/>
  <c r="D83" i="27"/>
  <c r="G83" i="27"/>
  <c r="F83" i="27"/>
  <c r="E83" i="27"/>
  <c r="I83" i="27"/>
  <c r="H83" i="27"/>
  <c r="J83" i="27" s="1"/>
  <c r="Q82" i="27"/>
  <c r="P82" i="27"/>
  <c r="R82" i="27"/>
  <c r="I82" i="27"/>
  <c r="T82" i="27" s="1"/>
  <c r="H82" i="27"/>
  <c r="J82" i="27" s="1"/>
  <c r="O82" i="27"/>
  <c r="N82" i="27"/>
  <c r="M82" i="27"/>
  <c r="L82" i="27"/>
  <c r="G82" i="27"/>
  <c r="F82" i="27"/>
  <c r="E82" i="27"/>
  <c r="D82" i="27"/>
  <c r="Q81" i="27"/>
  <c r="P81" i="27"/>
  <c r="R81" i="27" s="1"/>
  <c r="I81" i="27"/>
  <c r="H81" i="27"/>
  <c r="J81" i="27" s="1"/>
  <c r="O81" i="27"/>
  <c r="N81" i="27"/>
  <c r="M81" i="27"/>
  <c r="L81" i="27"/>
  <c r="G81" i="27"/>
  <c r="F81" i="27"/>
  <c r="E81" i="27"/>
  <c r="D81" i="27"/>
  <c r="Q80" i="27"/>
  <c r="P80" i="27"/>
  <c r="I80" i="27"/>
  <c r="T80" i="27" s="1"/>
  <c r="H80" i="27"/>
  <c r="J80" i="27" s="1"/>
  <c r="O80" i="27"/>
  <c r="N80" i="27"/>
  <c r="M80" i="27"/>
  <c r="L80" i="27"/>
  <c r="G80" i="27"/>
  <c r="F80" i="27"/>
  <c r="E80" i="27"/>
  <c r="D80" i="27"/>
  <c r="L79" i="27"/>
  <c r="O79" i="27"/>
  <c r="N79" i="27"/>
  <c r="M79" i="27"/>
  <c r="Q79" i="27"/>
  <c r="P79" i="27"/>
  <c r="R79" i="27" s="1"/>
  <c r="D79" i="27"/>
  <c r="G79" i="27"/>
  <c r="F79" i="27"/>
  <c r="E79" i="27"/>
  <c r="I79" i="27"/>
  <c r="H79" i="27"/>
  <c r="J79" i="27" s="1"/>
  <c r="Q106" i="27"/>
  <c r="P106" i="27"/>
  <c r="R106" i="27" s="1"/>
  <c r="I106" i="27"/>
  <c r="T106" i="27" s="1"/>
  <c r="H106" i="27"/>
  <c r="J106" i="27" s="1"/>
  <c r="O106" i="27"/>
  <c r="N106" i="27"/>
  <c r="M106" i="27"/>
  <c r="L106" i="27"/>
  <c r="G106" i="27"/>
  <c r="F106" i="27"/>
  <c r="E106" i="27"/>
  <c r="D106" i="27"/>
  <c r="Q105" i="27"/>
  <c r="P105" i="27"/>
  <c r="R105" i="27" s="1"/>
  <c r="I105" i="27"/>
  <c r="T105" i="27" s="1"/>
  <c r="H105" i="27"/>
  <c r="J105" i="27" s="1"/>
  <c r="O105" i="27"/>
  <c r="N105" i="27"/>
  <c r="M105" i="27"/>
  <c r="L105" i="27"/>
  <c r="G105" i="27"/>
  <c r="F105" i="27"/>
  <c r="E105" i="27"/>
  <c r="D105" i="27"/>
  <c r="Q104" i="27"/>
  <c r="P104" i="27"/>
  <c r="R104" i="27" s="1"/>
  <c r="I104" i="27"/>
  <c r="T104" i="27" s="1"/>
  <c r="H104" i="27"/>
  <c r="J104" i="27" s="1"/>
  <c r="O104" i="27"/>
  <c r="N104" i="27"/>
  <c r="M104" i="27"/>
  <c r="L104" i="27"/>
  <c r="G104" i="27"/>
  <c r="F104" i="27"/>
  <c r="E104" i="27"/>
  <c r="D104" i="27"/>
  <c r="L103" i="27"/>
  <c r="O103" i="27"/>
  <c r="N103" i="27"/>
  <c r="M103" i="27"/>
  <c r="Q103" i="27"/>
  <c r="P103" i="27"/>
  <c r="D103" i="27"/>
  <c r="G103" i="27"/>
  <c r="F103" i="27"/>
  <c r="E103" i="27"/>
  <c r="I103" i="27"/>
  <c r="H103" i="27"/>
  <c r="J103" i="27" s="1"/>
  <c r="Q102" i="27"/>
  <c r="P102" i="27"/>
  <c r="R102" i="27" s="1"/>
  <c r="I102" i="27"/>
  <c r="J102" i="27"/>
  <c r="O102" i="27"/>
  <c r="N102" i="27"/>
  <c r="M102" i="27"/>
  <c r="L102" i="27"/>
  <c r="Q101" i="27"/>
  <c r="P101" i="27"/>
  <c r="R101" i="27" s="1"/>
  <c r="I101" i="27"/>
  <c r="J101" i="27"/>
  <c r="O101" i="27"/>
  <c r="N101" i="27"/>
  <c r="M101" i="27"/>
  <c r="L101" i="27"/>
  <c r="Q100" i="27"/>
  <c r="P100" i="27"/>
  <c r="R100" i="27" s="1"/>
  <c r="I100" i="27"/>
  <c r="O100" i="27"/>
  <c r="N100" i="27"/>
  <c r="M100" i="27"/>
  <c r="L100" i="27"/>
  <c r="L99" i="27"/>
  <c r="O99" i="27"/>
  <c r="N99" i="27"/>
  <c r="M99" i="27"/>
  <c r="Q99" i="27"/>
  <c r="P99" i="27"/>
  <c r="R99" i="27" s="1"/>
  <c r="I99" i="27"/>
  <c r="Q98" i="27"/>
  <c r="P98" i="27"/>
  <c r="I98" i="27"/>
  <c r="H98" i="27"/>
  <c r="S98" i="27" s="1"/>
  <c r="O98" i="27"/>
  <c r="N98" i="27"/>
  <c r="M98" i="27"/>
  <c r="L98" i="27"/>
  <c r="G98" i="27"/>
  <c r="F98" i="27"/>
  <c r="E98" i="27"/>
  <c r="D98" i="27"/>
  <c r="Q97" i="27"/>
  <c r="P97" i="27"/>
  <c r="R97" i="27" s="1"/>
  <c r="I97" i="27"/>
  <c r="H97" i="27"/>
  <c r="J97" i="27" s="1"/>
  <c r="O97" i="27"/>
  <c r="N97" i="27"/>
  <c r="M97" i="27"/>
  <c r="L97" i="27"/>
  <c r="G97" i="27"/>
  <c r="F97" i="27"/>
  <c r="E97" i="27"/>
  <c r="D97" i="27"/>
  <c r="Q96" i="27"/>
  <c r="P96" i="27"/>
  <c r="R96" i="27"/>
  <c r="I96" i="27"/>
  <c r="H96" i="27"/>
  <c r="J96" i="27" s="1"/>
  <c r="O96" i="27"/>
  <c r="N96" i="27"/>
  <c r="M96" i="27"/>
  <c r="L96" i="27"/>
  <c r="G96" i="27"/>
  <c r="F96" i="27"/>
  <c r="E96" i="27"/>
  <c r="D96" i="27"/>
  <c r="L95" i="27"/>
  <c r="O95" i="27"/>
  <c r="N95" i="27"/>
  <c r="M95" i="27"/>
  <c r="Q95" i="27"/>
  <c r="P95" i="27"/>
  <c r="R95" i="27" s="1"/>
  <c r="D95" i="27"/>
  <c r="G95" i="27"/>
  <c r="F95" i="27"/>
  <c r="E95" i="27"/>
  <c r="I95" i="27"/>
  <c r="H95" i="27"/>
  <c r="J95" i="27" s="1"/>
  <c r="Q94" i="27"/>
  <c r="P94" i="27"/>
  <c r="R94" i="27" s="1"/>
  <c r="I94" i="27"/>
  <c r="H94" i="27"/>
  <c r="J94" i="27" s="1"/>
  <c r="O94" i="27"/>
  <c r="N94" i="27"/>
  <c r="M94" i="27"/>
  <c r="L94" i="27"/>
  <c r="G94" i="27"/>
  <c r="F94" i="27"/>
  <c r="E94" i="27"/>
  <c r="D94" i="27"/>
  <c r="Q93" i="27"/>
  <c r="P93" i="27"/>
  <c r="R93" i="27" s="1"/>
  <c r="I93" i="27"/>
  <c r="T93" i="27" s="1"/>
  <c r="H93" i="27"/>
  <c r="J93" i="27" s="1"/>
  <c r="O93" i="27"/>
  <c r="N93" i="27"/>
  <c r="M93" i="27"/>
  <c r="L93" i="27"/>
  <c r="G93" i="27"/>
  <c r="F93" i="27"/>
  <c r="E93" i="27"/>
  <c r="D93" i="27"/>
  <c r="Q92" i="27"/>
  <c r="P92" i="27"/>
  <c r="R92" i="27" s="1"/>
  <c r="I92" i="27"/>
  <c r="T92" i="27" s="1"/>
  <c r="H92" i="27"/>
  <c r="J92" i="27" s="1"/>
  <c r="O92" i="27"/>
  <c r="N92" i="27"/>
  <c r="M92" i="27"/>
  <c r="L92" i="27"/>
  <c r="G92" i="27"/>
  <c r="F92" i="27"/>
  <c r="E92" i="27"/>
  <c r="D92" i="27"/>
  <c r="L91" i="27"/>
  <c r="O91" i="27"/>
  <c r="N91" i="27"/>
  <c r="M91" i="27"/>
  <c r="Q91" i="27"/>
  <c r="P91" i="27"/>
  <c r="R91" i="27" s="1"/>
  <c r="D91" i="27"/>
  <c r="G91" i="27"/>
  <c r="F91" i="27"/>
  <c r="E91" i="27"/>
  <c r="I91" i="27"/>
  <c r="H91" i="27"/>
  <c r="J91" i="27" s="1"/>
  <c r="Q78" i="27"/>
  <c r="P78" i="27"/>
  <c r="I78" i="27"/>
  <c r="T78" i="27" s="1"/>
  <c r="H78" i="27"/>
  <c r="J78" i="27" s="1"/>
  <c r="O78" i="27"/>
  <c r="N78" i="27"/>
  <c r="M78" i="27"/>
  <c r="L78" i="27"/>
  <c r="G78" i="27"/>
  <c r="F78" i="27"/>
  <c r="E78" i="27"/>
  <c r="D78" i="27"/>
  <c r="Q77" i="27"/>
  <c r="P77" i="27"/>
  <c r="R77" i="27" s="1"/>
  <c r="I77" i="27"/>
  <c r="H77" i="27"/>
  <c r="J77" i="27" s="1"/>
  <c r="O77" i="27"/>
  <c r="N77" i="27"/>
  <c r="M77" i="27"/>
  <c r="L77" i="27"/>
  <c r="G77" i="27"/>
  <c r="F77" i="27"/>
  <c r="E77" i="27"/>
  <c r="D77" i="27"/>
  <c r="Q76" i="27"/>
  <c r="P76" i="27"/>
  <c r="R76" i="27"/>
  <c r="I76" i="27"/>
  <c r="H76" i="27"/>
  <c r="J76" i="27" s="1"/>
  <c r="O76" i="27"/>
  <c r="N76" i="27"/>
  <c r="M76" i="27"/>
  <c r="L76" i="27"/>
  <c r="G76" i="27"/>
  <c r="F76" i="27"/>
  <c r="E76" i="27"/>
  <c r="D76" i="27"/>
  <c r="L75" i="27"/>
  <c r="O75" i="27"/>
  <c r="N75" i="27"/>
  <c r="M75" i="27"/>
  <c r="Q75" i="27"/>
  <c r="P75" i="27"/>
  <c r="R75" i="27" s="1"/>
  <c r="D75" i="27"/>
  <c r="G75" i="27"/>
  <c r="F75" i="27"/>
  <c r="E75" i="27"/>
  <c r="I75" i="27"/>
  <c r="H75" i="27"/>
  <c r="J75" i="27" s="1"/>
  <c r="Q74" i="27"/>
  <c r="P74" i="27"/>
  <c r="R74" i="27" s="1"/>
  <c r="I74" i="27"/>
  <c r="H74" i="27"/>
  <c r="O74" i="27"/>
  <c r="N74" i="27"/>
  <c r="M74" i="27"/>
  <c r="L74" i="27"/>
  <c r="G74" i="27"/>
  <c r="F74" i="27"/>
  <c r="E74" i="27"/>
  <c r="D74" i="27"/>
  <c r="Q73" i="27"/>
  <c r="P73" i="27"/>
  <c r="R73" i="27" s="1"/>
  <c r="I73" i="27"/>
  <c r="T73" i="27" s="1"/>
  <c r="H73" i="27"/>
  <c r="S73" i="27" s="1"/>
  <c r="O73" i="27"/>
  <c r="N73" i="27"/>
  <c r="M73" i="27"/>
  <c r="L73" i="27"/>
  <c r="G73" i="27"/>
  <c r="F73" i="27"/>
  <c r="E73" i="27"/>
  <c r="D73" i="27"/>
  <c r="Q72" i="27"/>
  <c r="P72" i="27"/>
  <c r="R72" i="27" s="1"/>
  <c r="I72" i="27"/>
  <c r="H72" i="27"/>
  <c r="J72" i="27" s="1"/>
  <c r="O72" i="27"/>
  <c r="N72" i="27"/>
  <c r="M72" i="27"/>
  <c r="L72" i="27"/>
  <c r="G72" i="27"/>
  <c r="F72" i="27"/>
  <c r="E72" i="27"/>
  <c r="D72" i="27"/>
  <c r="L71" i="27"/>
  <c r="O71" i="27"/>
  <c r="N71" i="27"/>
  <c r="M71" i="27"/>
  <c r="Q71" i="27"/>
  <c r="P71" i="27"/>
  <c r="R71" i="27"/>
  <c r="D71" i="27"/>
  <c r="G71" i="27"/>
  <c r="F71" i="27"/>
  <c r="E71" i="27"/>
  <c r="I71" i="27"/>
  <c r="H71" i="27"/>
  <c r="J71" i="27" s="1"/>
  <c r="Q70" i="27"/>
  <c r="P70" i="27"/>
  <c r="R70" i="27" s="1"/>
  <c r="I70" i="27"/>
  <c r="H70" i="27"/>
  <c r="J70" i="27" s="1"/>
  <c r="O70" i="27"/>
  <c r="N70" i="27"/>
  <c r="M70" i="27"/>
  <c r="L70" i="27"/>
  <c r="G70" i="27"/>
  <c r="F70" i="27"/>
  <c r="E70" i="27"/>
  <c r="D70" i="27"/>
  <c r="Q69" i="27"/>
  <c r="P69" i="27"/>
  <c r="R69" i="27" s="1"/>
  <c r="I69" i="27"/>
  <c r="T69" i="27" s="1"/>
  <c r="H69" i="27"/>
  <c r="J69" i="27" s="1"/>
  <c r="O69" i="27"/>
  <c r="N69" i="27"/>
  <c r="M69" i="27"/>
  <c r="L69" i="27"/>
  <c r="G69" i="27"/>
  <c r="F69" i="27"/>
  <c r="E69" i="27"/>
  <c r="D69" i="27"/>
  <c r="Q68" i="27"/>
  <c r="P68" i="27"/>
  <c r="I68" i="27"/>
  <c r="H68" i="27"/>
  <c r="J68" i="27" s="1"/>
  <c r="O68" i="27"/>
  <c r="N68" i="27"/>
  <c r="M68" i="27"/>
  <c r="L68" i="27"/>
  <c r="G68" i="27"/>
  <c r="F68" i="27"/>
  <c r="E68" i="27"/>
  <c r="D68" i="27"/>
  <c r="L67" i="27"/>
  <c r="O67" i="27"/>
  <c r="N67" i="27"/>
  <c r="M67" i="27"/>
  <c r="Q67" i="27"/>
  <c r="P67" i="27"/>
  <c r="R67" i="27" s="1"/>
  <c r="D67" i="27"/>
  <c r="G67" i="27"/>
  <c r="F67" i="27"/>
  <c r="E67" i="27"/>
  <c r="I67" i="27"/>
  <c r="H67" i="27"/>
  <c r="J67" i="27" s="1"/>
  <c r="Q66" i="27"/>
  <c r="P66" i="27"/>
  <c r="I66" i="27"/>
  <c r="T66" i="27" s="1"/>
  <c r="H66" i="27"/>
  <c r="J66" i="27" s="1"/>
  <c r="O66" i="27"/>
  <c r="N66" i="27"/>
  <c r="M66" i="27"/>
  <c r="L66" i="27"/>
  <c r="G66" i="27"/>
  <c r="F66" i="27"/>
  <c r="E66" i="27"/>
  <c r="D66" i="27"/>
  <c r="Q65" i="27"/>
  <c r="P65" i="27"/>
  <c r="R65" i="27" s="1"/>
  <c r="I65" i="27"/>
  <c r="H65" i="27"/>
  <c r="J65" i="27" s="1"/>
  <c r="O65" i="27"/>
  <c r="N65" i="27"/>
  <c r="M65" i="27"/>
  <c r="L65" i="27"/>
  <c r="G65" i="27"/>
  <c r="F65" i="27"/>
  <c r="E65" i="27"/>
  <c r="D65" i="27"/>
  <c r="Q64" i="27"/>
  <c r="P64" i="27"/>
  <c r="R64" i="27" s="1"/>
  <c r="I64" i="27"/>
  <c r="H64" i="27"/>
  <c r="J64" i="27" s="1"/>
  <c r="O64" i="27"/>
  <c r="N64" i="27"/>
  <c r="M64" i="27"/>
  <c r="L64" i="27"/>
  <c r="G64" i="27"/>
  <c r="F64" i="27"/>
  <c r="E64" i="27"/>
  <c r="D64" i="27"/>
  <c r="L63" i="27"/>
  <c r="O63" i="27"/>
  <c r="N63" i="27"/>
  <c r="M63" i="27"/>
  <c r="Q63" i="27"/>
  <c r="P63" i="27"/>
  <c r="D63" i="27"/>
  <c r="G63" i="27"/>
  <c r="F63" i="27"/>
  <c r="E63" i="27"/>
  <c r="I63" i="27"/>
  <c r="H63" i="27"/>
  <c r="J63" i="27" s="1"/>
  <c r="Q62" i="27"/>
  <c r="P62" i="27"/>
  <c r="R62" i="27" s="1"/>
  <c r="I62" i="27"/>
  <c r="H62" i="27"/>
  <c r="J62" i="27" s="1"/>
  <c r="O62" i="27"/>
  <c r="N62" i="27"/>
  <c r="M62" i="27"/>
  <c r="L62" i="27"/>
  <c r="G62" i="27"/>
  <c r="F62" i="27"/>
  <c r="E62" i="27"/>
  <c r="D62" i="27"/>
  <c r="Q61" i="27"/>
  <c r="P61" i="27"/>
  <c r="R61" i="27"/>
  <c r="I61" i="27"/>
  <c r="H61" i="27"/>
  <c r="J61" i="27" s="1"/>
  <c r="O61" i="27"/>
  <c r="N61" i="27"/>
  <c r="M61" i="27"/>
  <c r="L61" i="27"/>
  <c r="G61" i="27"/>
  <c r="F61" i="27"/>
  <c r="E61" i="27"/>
  <c r="D61" i="27"/>
  <c r="Q60" i="27"/>
  <c r="P60" i="27"/>
  <c r="I60" i="27"/>
  <c r="T60" i="27" s="1"/>
  <c r="H60" i="27"/>
  <c r="J60" i="27" s="1"/>
  <c r="O60" i="27"/>
  <c r="N60" i="27"/>
  <c r="M60" i="27"/>
  <c r="L60" i="27"/>
  <c r="G60" i="27"/>
  <c r="F60" i="27"/>
  <c r="E60" i="27"/>
  <c r="D60" i="27"/>
  <c r="L59" i="27"/>
  <c r="O59" i="27"/>
  <c r="N59" i="27"/>
  <c r="M59" i="27"/>
  <c r="Q59" i="27"/>
  <c r="P59" i="27"/>
  <c r="R59" i="27" s="1"/>
  <c r="D59" i="27"/>
  <c r="G59" i="27"/>
  <c r="F59" i="27"/>
  <c r="E59" i="27"/>
  <c r="I59" i="27"/>
  <c r="T59" i="27" s="1"/>
  <c r="H59" i="27"/>
  <c r="Q58" i="27"/>
  <c r="P58" i="27"/>
  <c r="I58" i="27"/>
  <c r="T58" i="27" s="1"/>
  <c r="H58" i="27"/>
  <c r="J58" i="27" s="1"/>
  <c r="O58" i="27"/>
  <c r="N58" i="27"/>
  <c r="M58" i="27"/>
  <c r="L58" i="27"/>
  <c r="G58" i="27"/>
  <c r="F58" i="27"/>
  <c r="E58" i="27"/>
  <c r="D58" i="27"/>
  <c r="Q57" i="27"/>
  <c r="P57" i="27"/>
  <c r="R57" i="27" s="1"/>
  <c r="I57" i="27"/>
  <c r="O57" i="27"/>
  <c r="N57" i="27"/>
  <c r="M57" i="27"/>
  <c r="L57" i="27"/>
  <c r="Q56" i="27"/>
  <c r="P56" i="27"/>
  <c r="I56" i="27"/>
  <c r="J56" i="27"/>
  <c r="O56" i="27"/>
  <c r="N56" i="27"/>
  <c r="M56" i="27"/>
  <c r="L56" i="27"/>
  <c r="L55" i="27"/>
  <c r="O55" i="27"/>
  <c r="N55" i="27"/>
  <c r="M55" i="27"/>
  <c r="Q55" i="27"/>
  <c r="P55" i="27"/>
  <c r="R55" i="27" s="1"/>
  <c r="I55" i="27"/>
  <c r="Q54" i="27"/>
  <c r="P54" i="27"/>
  <c r="R54" i="27" s="1"/>
  <c r="T54" i="27"/>
  <c r="J54" i="27"/>
  <c r="O54" i="27"/>
  <c r="N54" i="27"/>
  <c r="M54" i="27"/>
  <c r="L54" i="27"/>
  <c r="Q53" i="27"/>
  <c r="P53" i="27"/>
  <c r="R53" i="27" s="1"/>
  <c r="I53" i="27"/>
  <c r="H53" i="27"/>
  <c r="J53" i="27" s="1"/>
  <c r="O53" i="27"/>
  <c r="N53" i="27"/>
  <c r="M53" i="27"/>
  <c r="L53" i="27"/>
  <c r="G53" i="27"/>
  <c r="F53" i="27"/>
  <c r="E53" i="27"/>
  <c r="D53" i="27"/>
  <c r="Q52" i="27"/>
  <c r="P52" i="27"/>
  <c r="R52" i="27" s="1"/>
  <c r="I52" i="27"/>
  <c r="H52" i="27"/>
  <c r="J52" i="27" s="1"/>
  <c r="O52" i="27"/>
  <c r="N52" i="27"/>
  <c r="M52" i="27"/>
  <c r="L52" i="27"/>
  <c r="G52" i="27"/>
  <c r="F52" i="27"/>
  <c r="E52" i="27"/>
  <c r="D52" i="27"/>
  <c r="L51" i="27"/>
  <c r="O51" i="27"/>
  <c r="N51" i="27"/>
  <c r="M51" i="27"/>
  <c r="Q51" i="27"/>
  <c r="P51" i="27"/>
  <c r="R51" i="27" s="1"/>
  <c r="D51" i="27"/>
  <c r="G51" i="27"/>
  <c r="F51" i="27"/>
  <c r="E51" i="27"/>
  <c r="I51" i="27"/>
  <c r="H51" i="27"/>
  <c r="J51" i="27" s="1"/>
  <c r="Q50" i="27"/>
  <c r="P50" i="27"/>
  <c r="R50" i="27" s="1"/>
  <c r="I50" i="27"/>
  <c r="H50" i="27"/>
  <c r="J50" i="27" s="1"/>
  <c r="O50" i="27"/>
  <c r="N50" i="27"/>
  <c r="M50" i="27"/>
  <c r="L50" i="27"/>
  <c r="G50" i="27"/>
  <c r="F50" i="27"/>
  <c r="E50" i="27"/>
  <c r="D50" i="27"/>
  <c r="Q49" i="27"/>
  <c r="P49" i="27"/>
  <c r="R49" i="27" s="1"/>
  <c r="I49" i="27"/>
  <c r="T49" i="27" s="1"/>
  <c r="H49" i="27"/>
  <c r="J49" i="27" s="1"/>
  <c r="O49" i="27"/>
  <c r="N49" i="27"/>
  <c r="M49" i="27"/>
  <c r="L49" i="27"/>
  <c r="G49" i="27"/>
  <c r="F49" i="27"/>
  <c r="E49" i="27"/>
  <c r="D49" i="27"/>
  <c r="Q48" i="27"/>
  <c r="P48" i="27"/>
  <c r="R48" i="27" s="1"/>
  <c r="I48" i="27"/>
  <c r="H48" i="27"/>
  <c r="O48" i="27"/>
  <c r="N48" i="27"/>
  <c r="M48" i="27"/>
  <c r="L48" i="27"/>
  <c r="G48" i="27"/>
  <c r="F48" i="27"/>
  <c r="E48" i="27"/>
  <c r="D48" i="27"/>
  <c r="L47" i="27"/>
  <c r="O47" i="27"/>
  <c r="N47" i="27"/>
  <c r="M47" i="27"/>
  <c r="Q47" i="27"/>
  <c r="P47" i="27"/>
  <c r="R47" i="27" s="1"/>
  <c r="D47" i="27"/>
  <c r="G47" i="27"/>
  <c r="F47" i="27"/>
  <c r="E47" i="27"/>
  <c r="I47" i="27"/>
  <c r="H47" i="27"/>
  <c r="S47" i="27" s="1"/>
  <c r="Q46" i="27"/>
  <c r="P46" i="27"/>
  <c r="R46" i="27" s="1"/>
  <c r="I46" i="27"/>
  <c r="H46" i="27"/>
  <c r="J46" i="27" s="1"/>
  <c r="O46" i="27"/>
  <c r="N46" i="27"/>
  <c r="M46" i="27"/>
  <c r="L46" i="27"/>
  <c r="G46" i="27"/>
  <c r="F46" i="27"/>
  <c r="E46" i="27"/>
  <c r="D46" i="27"/>
  <c r="Q45" i="27"/>
  <c r="P45" i="27"/>
  <c r="R45" i="27" s="1"/>
  <c r="I45" i="27"/>
  <c r="H45" i="27"/>
  <c r="O45" i="27"/>
  <c r="N45" i="27"/>
  <c r="M45" i="27"/>
  <c r="L45" i="27"/>
  <c r="G45" i="27"/>
  <c r="F45" i="27"/>
  <c r="E45" i="27"/>
  <c r="D45" i="27"/>
  <c r="Q44" i="27"/>
  <c r="P44" i="27"/>
  <c r="I44" i="27"/>
  <c r="H44" i="27"/>
  <c r="J44" i="27" s="1"/>
  <c r="O44" i="27"/>
  <c r="N44" i="27"/>
  <c r="M44" i="27"/>
  <c r="L44" i="27"/>
  <c r="G44" i="27"/>
  <c r="F44" i="27"/>
  <c r="E44" i="27"/>
  <c r="D44" i="27"/>
  <c r="L43" i="27"/>
  <c r="O43" i="27"/>
  <c r="N43" i="27"/>
  <c r="M43" i="27"/>
  <c r="Q43" i="27"/>
  <c r="P43" i="27"/>
  <c r="R43" i="27" s="1"/>
  <c r="D43" i="27"/>
  <c r="G43" i="27"/>
  <c r="F43" i="27"/>
  <c r="E43" i="27"/>
  <c r="I43" i="27"/>
  <c r="H43" i="27"/>
  <c r="J43" i="27" s="1"/>
  <c r="Q42" i="27"/>
  <c r="P42" i="27"/>
  <c r="R42" i="27"/>
  <c r="I42" i="27"/>
  <c r="H42" i="27"/>
  <c r="J42" i="27" s="1"/>
  <c r="O42" i="27"/>
  <c r="N42" i="27"/>
  <c r="M42" i="27"/>
  <c r="L42" i="27"/>
  <c r="G42" i="27"/>
  <c r="F42" i="27"/>
  <c r="E42" i="27"/>
  <c r="D42" i="27"/>
  <c r="Q41" i="27"/>
  <c r="P41" i="27"/>
  <c r="I41" i="27"/>
  <c r="H41" i="27"/>
  <c r="J41" i="27" s="1"/>
  <c r="O41" i="27"/>
  <c r="N41" i="27"/>
  <c r="M41" i="27"/>
  <c r="L41" i="27"/>
  <c r="G41" i="27"/>
  <c r="F41" i="27"/>
  <c r="E41" i="27"/>
  <c r="D41" i="27"/>
  <c r="Q40" i="27"/>
  <c r="P40" i="27"/>
  <c r="R40" i="27" s="1"/>
  <c r="I40" i="27"/>
  <c r="H40" i="27"/>
  <c r="J40" i="27" s="1"/>
  <c r="O40" i="27"/>
  <c r="N40" i="27"/>
  <c r="M40" i="27"/>
  <c r="L40" i="27"/>
  <c r="G40" i="27"/>
  <c r="F40" i="27"/>
  <c r="E40" i="27"/>
  <c r="D40" i="27"/>
  <c r="L39" i="27"/>
  <c r="O39" i="27"/>
  <c r="N39" i="27"/>
  <c r="M39" i="27"/>
  <c r="Q39" i="27"/>
  <c r="P39" i="27"/>
  <c r="R39" i="27"/>
  <c r="D39" i="27"/>
  <c r="G39" i="27"/>
  <c r="F39" i="27"/>
  <c r="E39" i="27"/>
  <c r="I39" i="27"/>
  <c r="H39" i="27"/>
  <c r="J39" i="27" s="1"/>
  <c r="Q38" i="27"/>
  <c r="P38" i="27"/>
  <c r="R38" i="27" s="1"/>
  <c r="I38" i="27"/>
  <c r="H38" i="27"/>
  <c r="J38" i="27" s="1"/>
  <c r="O38" i="27"/>
  <c r="N38" i="27"/>
  <c r="M38" i="27"/>
  <c r="L38" i="27"/>
  <c r="G38" i="27"/>
  <c r="F38" i="27"/>
  <c r="E38" i="27"/>
  <c r="D38" i="27"/>
  <c r="Q37" i="27"/>
  <c r="P37" i="27"/>
  <c r="I37" i="27"/>
  <c r="H37" i="27"/>
  <c r="J37" i="27" s="1"/>
  <c r="O37" i="27"/>
  <c r="N37" i="27"/>
  <c r="M37" i="27"/>
  <c r="L37" i="27"/>
  <c r="G37" i="27"/>
  <c r="F37" i="27"/>
  <c r="E37" i="27"/>
  <c r="D37" i="27"/>
  <c r="Q36" i="27"/>
  <c r="P36" i="27"/>
  <c r="R36" i="27" s="1"/>
  <c r="I36" i="27"/>
  <c r="H36" i="27"/>
  <c r="J36" i="27" s="1"/>
  <c r="O36" i="27"/>
  <c r="N36" i="27"/>
  <c r="M36" i="27"/>
  <c r="L36" i="27"/>
  <c r="G36" i="27"/>
  <c r="F36" i="27"/>
  <c r="E36" i="27"/>
  <c r="D36" i="27"/>
  <c r="L35" i="27"/>
  <c r="O35" i="27"/>
  <c r="N35" i="27"/>
  <c r="M35" i="27"/>
  <c r="Q35" i="27"/>
  <c r="P35" i="27"/>
  <c r="D35" i="27"/>
  <c r="G35" i="27"/>
  <c r="F35" i="27"/>
  <c r="E35" i="27"/>
  <c r="I35" i="27"/>
  <c r="H35" i="27"/>
  <c r="J35" i="27" s="1"/>
  <c r="Q34" i="27"/>
  <c r="P34" i="27"/>
  <c r="R34" i="27" s="1"/>
  <c r="I34" i="27"/>
  <c r="H34" i="27"/>
  <c r="J34" i="27" s="1"/>
  <c r="O34" i="27"/>
  <c r="N34" i="27"/>
  <c r="M34" i="27"/>
  <c r="L34" i="27"/>
  <c r="G34" i="27"/>
  <c r="F34" i="27"/>
  <c r="E34" i="27"/>
  <c r="D34" i="27"/>
  <c r="Q33" i="27"/>
  <c r="P33" i="27"/>
  <c r="R33" i="27" s="1"/>
  <c r="I33" i="27"/>
  <c r="H33" i="27"/>
  <c r="O33" i="27"/>
  <c r="N33" i="27"/>
  <c r="M33" i="27"/>
  <c r="L33" i="27"/>
  <c r="G33" i="27"/>
  <c r="F33" i="27"/>
  <c r="E33" i="27"/>
  <c r="D33" i="27"/>
  <c r="Q32" i="27"/>
  <c r="P32" i="27"/>
  <c r="R32" i="27" s="1"/>
  <c r="I32" i="27"/>
  <c r="H32" i="27"/>
  <c r="J32" i="27" s="1"/>
  <c r="O32" i="27"/>
  <c r="N32" i="27"/>
  <c r="M32" i="27"/>
  <c r="L32" i="27"/>
  <c r="G32" i="27"/>
  <c r="F32" i="27"/>
  <c r="E32" i="27"/>
  <c r="D32" i="27"/>
  <c r="L31" i="27"/>
  <c r="O31" i="27"/>
  <c r="N31" i="27"/>
  <c r="M31" i="27"/>
  <c r="Q31" i="27"/>
  <c r="P31" i="27"/>
  <c r="R31" i="27"/>
  <c r="D31" i="27"/>
  <c r="G31" i="27"/>
  <c r="F31" i="27"/>
  <c r="E31" i="27"/>
  <c r="I31" i="27"/>
  <c r="H31" i="27"/>
  <c r="S31" i="27" s="1"/>
  <c r="Q30" i="27"/>
  <c r="P30" i="27"/>
  <c r="R30" i="27"/>
  <c r="I30" i="27"/>
  <c r="H30" i="27"/>
  <c r="J30" i="27" s="1"/>
  <c r="O30" i="27"/>
  <c r="N30" i="27"/>
  <c r="M30" i="27"/>
  <c r="L30" i="27"/>
  <c r="G30" i="27"/>
  <c r="F30" i="27"/>
  <c r="E30" i="27"/>
  <c r="D30" i="27"/>
  <c r="Q29" i="27"/>
  <c r="P29" i="27"/>
  <c r="I29" i="27"/>
  <c r="H29" i="27"/>
  <c r="J29" i="27" s="1"/>
  <c r="O29" i="27"/>
  <c r="N29" i="27"/>
  <c r="M29" i="27"/>
  <c r="L29" i="27"/>
  <c r="G29" i="27"/>
  <c r="F29" i="27"/>
  <c r="E29" i="27"/>
  <c r="D29" i="27"/>
  <c r="Q28" i="27"/>
  <c r="P28" i="27"/>
  <c r="I28" i="27"/>
  <c r="H28" i="27"/>
  <c r="J28" i="27" s="1"/>
  <c r="O28" i="27"/>
  <c r="N28" i="27"/>
  <c r="M28" i="27"/>
  <c r="L28" i="27"/>
  <c r="G28" i="27"/>
  <c r="F28" i="27"/>
  <c r="E28" i="27"/>
  <c r="D28" i="27"/>
  <c r="L27" i="27"/>
  <c r="O27" i="27"/>
  <c r="N27" i="27"/>
  <c r="M27" i="27"/>
  <c r="Q27" i="27"/>
  <c r="P27" i="27"/>
  <c r="R27" i="27" s="1"/>
  <c r="D27" i="27"/>
  <c r="G27" i="27"/>
  <c r="F27" i="27"/>
  <c r="E27" i="27"/>
  <c r="I27" i="27"/>
  <c r="H27" i="27"/>
  <c r="J27" i="27" s="1"/>
  <c r="Q26" i="27"/>
  <c r="P26" i="27"/>
  <c r="R26" i="27" s="1"/>
  <c r="I26" i="27"/>
  <c r="T26" i="27" s="1"/>
  <c r="H26" i="27"/>
  <c r="J26" i="27" s="1"/>
  <c r="O26" i="27"/>
  <c r="N26" i="27"/>
  <c r="M26" i="27"/>
  <c r="L26" i="27"/>
  <c r="G26" i="27"/>
  <c r="F26" i="27"/>
  <c r="E26" i="27"/>
  <c r="D26" i="27"/>
  <c r="Q25" i="27"/>
  <c r="P25" i="27"/>
  <c r="R25" i="27" s="1"/>
  <c r="I25" i="27"/>
  <c r="H25" i="27"/>
  <c r="J25" i="27" s="1"/>
  <c r="O25" i="27"/>
  <c r="N25" i="27"/>
  <c r="M25" i="27"/>
  <c r="L25" i="27"/>
  <c r="G25" i="27"/>
  <c r="F25" i="27"/>
  <c r="E25" i="27"/>
  <c r="D25" i="27"/>
  <c r="Q24" i="27"/>
  <c r="P24" i="27"/>
  <c r="I24" i="27"/>
  <c r="T24" i="27" s="1"/>
  <c r="H24" i="27"/>
  <c r="J24" i="27" s="1"/>
  <c r="O24" i="27"/>
  <c r="N24" i="27"/>
  <c r="M24" i="27"/>
  <c r="L24" i="27"/>
  <c r="G24" i="27"/>
  <c r="F24" i="27"/>
  <c r="E24" i="27"/>
  <c r="D24" i="27"/>
  <c r="L23" i="27"/>
  <c r="O23" i="27"/>
  <c r="N23" i="27"/>
  <c r="M23" i="27"/>
  <c r="Q23" i="27"/>
  <c r="P23" i="27"/>
  <c r="R23" i="27" s="1"/>
  <c r="D23" i="27"/>
  <c r="G23" i="27"/>
  <c r="F23" i="27"/>
  <c r="E23" i="27"/>
  <c r="I23" i="27"/>
  <c r="T23" i="27" s="1"/>
  <c r="H23" i="27"/>
  <c r="S23" i="27" s="1"/>
  <c r="Q22" i="27"/>
  <c r="P22" i="27"/>
  <c r="R22" i="27" s="1"/>
  <c r="I22" i="27"/>
  <c r="H22" i="27"/>
  <c r="J22" i="27" s="1"/>
  <c r="O22" i="27"/>
  <c r="N22" i="27"/>
  <c r="M22" i="27"/>
  <c r="L22" i="27"/>
  <c r="G22" i="27"/>
  <c r="F22" i="27"/>
  <c r="E22" i="27"/>
  <c r="D22" i="27"/>
  <c r="Q21" i="27"/>
  <c r="P21" i="27"/>
  <c r="I21" i="27"/>
  <c r="H21" i="27"/>
  <c r="J21" i="27" s="1"/>
  <c r="O21" i="27"/>
  <c r="N21" i="27"/>
  <c r="M21" i="27"/>
  <c r="L21" i="27"/>
  <c r="G21" i="27"/>
  <c r="F21" i="27"/>
  <c r="E21" i="27"/>
  <c r="D21" i="27"/>
  <c r="Q20" i="27"/>
  <c r="P20" i="27"/>
  <c r="R20" i="27" s="1"/>
  <c r="I20" i="27"/>
  <c r="T20" i="27" s="1"/>
  <c r="H20" i="27"/>
  <c r="O20" i="27"/>
  <c r="N20" i="27"/>
  <c r="M20" i="27"/>
  <c r="L20" i="27"/>
  <c r="G20" i="27"/>
  <c r="F20" i="27"/>
  <c r="E20" i="27"/>
  <c r="D20" i="27"/>
  <c r="L19" i="27"/>
  <c r="O19" i="27"/>
  <c r="N19" i="27"/>
  <c r="M19" i="27"/>
  <c r="Q19" i="27"/>
  <c r="P19" i="27"/>
  <c r="R19" i="27"/>
  <c r="D19" i="27"/>
  <c r="G19" i="27"/>
  <c r="F19" i="27"/>
  <c r="E19" i="27"/>
  <c r="I19" i="27"/>
  <c r="H19" i="27"/>
  <c r="J19" i="27" s="1"/>
  <c r="Q18" i="27"/>
  <c r="P18" i="27"/>
  <c r="R18" i="27" s="1"/>
  <c r="I18" i="27"/>
  <c r="T18" i="27" s="1"/>
  <c r="H18" i="27"/>
  <c r="J18" i="27" s="1"/>
  <c r="O18" i="27"/>
  <c r="N18" i="27"/>
  <c r="M18" i="27"/>
  <c r="L18" i="27"/>
  <c r="G18" i="27"/>
  <c r="F18" i="27"/>
  <c r="E18" i="27"/>
  <c r="D18" i="27"/>
  <c r="Q17" i="27"/>
  <c r="P17" i="27"/>
  <c r="R17" i="27" s="1"/>
  <c r="I17" i="27"/>
  <c r="H17" i="27"/>
  <c r="J17" i="27" s="1"/>
  <c r="O17" i="27"/>
  <c r="N17" i="27"/>
  <c r="M17" i="27"/>
  <c r="L17" i="27"/>
  <c r="G17" i="27"/>
  <c r="F17" i="27"/>
  <c r="E17" i="27"/>
  <c r="D17" i="27"/>
  <c r="Q16" i="27"/>
  <c r="P16" i="27"/>
  <c r="R16" i="27" s="1"/>
  <c r="I16" i="27"/>
  <c r="H16" i="27"/>
  <c r="J16" i="27" s="1"/>
  <c r="O16" i="27"/>
  <c r="N16" i="27"/>
  <c r="M16" i="27"/>
  <c r="L16" i="27"/>
  <c r="G16" i="27"/>
  <c r="F16" i="27"/>
  <c r="E16" i="27"/>
  <c r="D16" i="27"/>
  <c r="L15" i="27"/>
  <c r="O15" i="27"/>
  <c r="N15" i="27"/>
  <c r="M15" i="27"/>
  <c r="Q15" i="27"/>
  <c r="P15" i="27"/>
  <c r="D15" i="27"/>
  <c r="G15" i="27"/>
  <c r="F15" i="27"/>
  <c r="E15" i="27"/>
  <c r="I15" i="27"/>
  <c r="H15" i="27"/>
  <c r="J15" i="27" s="1"/>
  <c r="D3" i="27"/>
  <c r="E3" i="27"/>
  <c r="F3" i="27"/>
  <c r="G3" i="27"/>
  <c r="H3" i="27"/>
  <c r="J3" i="27" s="1"/>
  <c r="I3" i="27"/>
  <c r="Q3" i="27"/>
  <c r="L3" i="27"/>
  <c r="M3" i="27"/>
  <c r="N3" i="27"/>
  <c r="O3" i="27"/>
  <c r="P3" i="27"/>
  <c r="R3" i="27" s="1"/>
  <c r="L6" i="27"/>
  <c r="L5" i="27"/>
  <c r="L4" i="27"/>
  <c r="O4" i="27"/>
  <c r="O5" i="27"/>
  <c r="O6" i="27"/>
  <c r="L10" i="27"/>
  <c r="L9" i="27"/>
  <c r="L8" i="27"/>
  <c r="L7" i="27"/>
  <c r="O7" i="27"/>
  <c r="O8" i="27"/>
  <c r="O9" i="27"/>
  <c r="O10" i="27"/>
  <c r="L14" i="27"/>
  <c r="L13" i="27"/>
  <c r="L12" i="27"/>
  <c r="L11" i="27"/>
  <c r="O11" i="27"/>
  <c r="O12" i="27"/>
  <c r="O13" i="27"/>
  <c r="O14" i="27"/>
  <c r="N4" i="27"/>
  <c r="N5" i="27"/>
  <c r="N6" i="27"/>
  <c r="N7" i="27"/>
  <c r="N8" i="27"/>
  <c r="N9" i="27"/>
  <c r="N10" i="27"/>
  <c r="N11" i="27"/>
  <c r="N12" i="27"/>
  <c r="N13" i="27"/>
  <c r="N14" i="27"/>
  <c r="M4" i="27"/>
  <c r="M5" i="27"/>
  <c r="M6" i="27"/>
  <c r="M7" i="27"/>
  <c r="M8" i="27"/>
  <c r="M9" i="27"/>
  <c r="M10" i="27"/>
  <c r="M11" i="27"/>
  <c r="M12" i="27"/>
  <c r="M13" i="27"/>
  <c r="M14" i="27"/>
  <c r="Q4" i="27"/>
  <c r="Q5" i="27"/>
  <c r="Q6" i="27"/>
  <c r="Q7" i="27"/>
  <c r="Q8" i="27"/>
  <c r="Q9" i="27"/>
  <c r="Q10" i="27"/>
  <c r="Q11" i="27"/>
  <c r="Q12" i="27"/>
  <c r="Q13" i="27"/>
  <c r="Q14" i="27"/>
  <c r="P4" i="27"/>
  <c r="P5" i="27"/>
  <c r="P6" i="27"/>
  <c r="R6" i="27" s="1"/>
  <c r="P7" i="27"/>
  <c r="R7" i="27" s="1"/>
  <c r="P8" i="27"/>
  <c r="R8" i="27" s="1"/>
  <c r="P9" i="27"/>
  <c r="P10" i="27"/>
  <c r="R10" i="27" s="1"/>
  <c r="P11" i="27"/>
  <c r="R11" i="27" s="1"/>
  <c r="P12" i="27"/>
  <c r="P13" i="27"/>
  <c r="R13" i="27" s="1"/>
  <c r="P14" i="27"/>
  <c r="R14" i="27" s="1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4" i="27"/>
  <c r="J4" i="27" s="1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1" i="27"/>
  <c r="J11" i="27" s="1"/>
  <c r="H12" i="27"/>
  <c r="J12" i="27" s="1"/>
  <c r="H13" i="27"/>
  <c r="J13" i="27" s="1"/>
  <c r="H14" i="27"/>
  <c r="J14" i="27" s="1"/>
  <c r="I4" i="27"/>
  <c r="T4" i="27" s="1"/>
  <c r="I5" i="27"/>
  <c r="T5" i="27" s="1"/>
  <c r="I6" i="27"/>
  <c r="T6" i="27" s="1"/>
  <c r="I7" i="27"/>
  <c r="T7" i="27" s="1"/>
  <c r="I8" i="27"/>
  <c r="T8" i="27" s="1"/>
  <c r="I9" i="27"/>
  <c r="I10" i="27"/>
  <c r="I11" i="27"/>
  <c r="I12" i="27"/>
  <c r="I13" i="27"/>
  <c r="T13" i="27" s="1"/>
  <c r="I14" i="27"/>
  <c r="C66" i="29"/>
  <c r="C65" i="29"/>
  <c r="C64" i="29"/>
  <c r="C63" i="29"/>
  <c r="B48" i="9"/>
  <c r="B43" i="9"/>
  <c r="B44" i="9"/>
  <c r="B45" i="9"/>
  <c r="B41" i="9"/>
  <c r="B17" i="9"/>
  <c r="B19" i="9"/>
  <c r="B20" i="9"/>
  <c r="B21" i="9"/>
  <c r="B24" i="9"/>
  <c r="B31" i="9"/>
  <c r="B32" i="9"/>
  <c r="B33" i="9"/>
  <c r="B36" i="9"/>
  <c r="B29" i="9"/>
  <c r="AC3" i="10"/>
  <c r="C66" i="25"/>
  <c r="C65" i="25"/>
  <c r="C64" i="25"/>
  <c r="C63" i="25"/>
  <c r="C66" i="20"/>
  <c r="C65" i="20"/>
  <c r="C64" i="20"/>
  <c r="C63" i="20"/>
  <c r="C66" i="27"/>
  <c r="C65" i="27"/>
  <c r="C64" i="27"/>
  <c r="C63" i="27"/>
  <c r="AD8" i="10"/>
  <c r="R98" i="27"/>
  <c r="R83" i="25"/>
  <c r="S73" i="29"/>
  <c r="R40" i="20"/>
  <c r="R92" i="20"/>
  <c r="R66" i="27"/>
  <c r="R24" i="27"/>
  <c r="R30" i="25"/>
  <c r="R54" i="20"/>
  <c r="J65" i="29"/>
  <c r="S65" i="29"/>
  <c r="S96" i="20"/>
  <c r="S81" i="29"/>
  <c r="T59" i="20"/>
  <c r="T39" i="20"/>
  <c r="T51" i="25"/>
  <c r="R39" i="29"/>
  <c r="T88" i="27"/>
  <c r="T33" i="27"/>
  <c r="T87" i="27"/>
  <c r="T81" i="29"/>
  <c r="T71" i="20"/>
  <c r="T30" i="25"/>
  <c r="S30" i="29"/>
  <c r="S33" i="29"/>
  <c r="T56" i="27"/>
  <c r="S84" i="29"/>
  <c r="S66" i="29"/>
  <c r="S54" i="29"/>
  <c r="T57" i="20"/>
  <c r="S79" i="27"/>
  <c r="T68" i="29"/>
  <c r="T56" i="29"/>
  <c r="T44" i="29"/>
  <c r="T83" i="27"/>
  <c r="S38" i="29"/>
  <c r="T102" i="20"/>
  <c r="T98" i="20"/>
  <c r="T70" i="20"/>
  <c r="T62" i="20"/>
  <c r="T58" i="20"/>
  <c r="T50" i="20"/>
  <c r="T46" i="20"/>
  <c r="T104" i="25"/>
  <c r="T100" i="25"/>
  <c r="T42" i="25"/>
  <c r="T34" i="25"/>
  <c r="T90" i="29"/>
  <c r="T86" i="29"/>
  <c r="T66" i="29"/>
  <c r="T54" i="29"/>
  <c r="T72" i="20"/>
  <c r="T28" i="20"/>
  <c r="T94" i="25"/>
  <c r="T56" i="25"/>
  <c r="T106" i="29"/>
  <c r="T13" i="20"/>
  <c r="R46" i="25"/>
  <c r="R66" i="29"/>
  <c r="S34" i="27"/>
  <c r="T45" i="25"/>
  <c r="T33" i="25"/>
  <c r="T95" i="29"/>
  <c r="S75" i="27"/>
  <c r="T104" i="20"/>
  <c r="T100" i="20"/>
  <c r="T69" i="20"/>
  <c r="T89" i="25"/>
  <c r="T39" i="25"/>
  <c r="T105" i="25"/>
  <c r="T93" i="25"/>
  <c r="T65" i="25"/>
  <c r="T53" i="25"/>
  <c r="T87" i="29"/>
  <c r="T79" i="29"/>
  <c r="T112" i="29" s="1"/>
  <c r="G45" i="9" s="1"/>
  <c r="T75" i="29"/>
  <c r="T67" i="29"/>
  <c r="T59" i="29"/>
  <c r="S72" i="25"/>
  <c r="S44" i="29"/>
  <c r="S59" i="25"/>
  <c r="S86" i="25"/>
  <c r="S89" i="27"/>
  <c r="S84" i="25"/>
  <c r="S97" i="25"/>
  <c r="S63" i="29"/>
  <c r="S111" i="29" s="1"/>
  <c r="F47" i="9" s="1"/>
  <c r="S40" i="25"/>
  <c r="J75" i="25"/>
  <c r="S5" i="20"/>
  <c r="S39" i="27"/>
  <c r="S102" i="20"/>
  <c r="S60" i="25"/>
  <c r="S88" i="27"/>
  <c r="J23" i="27"/>
  <c r="S87" i="25"/>
  <c r="S45" i="20"/>
  <c r="T7" i="20"/>
  <c r="S90" i="27"/>
  <c r="J45" i="27"/>
  <c r="S15" i="20"/>
  <c r="S108" i="20" s="1"/>
  <c r="F18" i="9" s="1"/>
  <c r="S105" i="27"/>
  <c r="S97" i="20"/>
  <c r="S97" i="27"/>
  <c r="S76" i="20"/>
  <c r="T66" i="25"/>
  <c r="S98" i="29"/>
  <c r="S31" i="29"/>
  <c r="R100" i="29"/>
  <c r="R70" i="29"/>
  <c r="J79" i="29"/>
  <c r="R96" i="29"/>
  <c r="S94" i="29"/>
  <c r="R94" i="29"/>
  <c r="R90" i="29"/>
  <c r="S76" i="29"/>
  <c r="R76" i="29"/>
  <c r="R72" i="29"/>
  <c r="R50" i="29"/>
  <c r="S50" i="29"/>
  <c r="R48" i="29"/>
  <c r="T42" i="29"/>
  <c r="J106" i="29"/>
  <c r="S106" i="29"/>
  <c r="J28" i="29"/>
  <c r="S28" i="29"/>
  <c r="R54" i="29"/>
  <c r="T80" i="29"/>
  <c r="R92" i="29"/>
  <c r="S74" i="29"/>
  <c r="R74" i="29"/>
  <c r="R68" i="29"/>
  <c r="R52" i="29"/>
  <c r="S80" i="29"/>
  <c r="J61" i="29"/>
  <c r="T28" i="29"/>
  <c r="R58" i="29"/>
  <c r="T63" i="29"/>
  <c r="T111" i="29" s="1"/>
  <c r="G47" i="9" s="1"/>
  <c r="J104" i="29"/>
  <c r="S104" i="29"/>
  <c r="J83" i="29"/>
  <c r="S83" i="29"/>
  <c r="S43" i="29"/>
  <c r="J43" i="29"/>
  <c r="J27" i="29"/>
  <c r="T91" i="29"/>
  <c r="T113" i="29" s="1"/>
  <c r="G48" i="9" s="1"/>
  <c r="S53" i="29"/>
  <c r="J53" i="29"/>
  <c r="J51" i="29"/>
  <c r="S51" i="29"/>
  <c r="J42" i="29"/>
  <c r="S42" i="29"/>
  <c r="T57" i="29"/>
  <c r="S85" i="29"/>
  <c r="R57" i="25"/>
  <c r="R55" i="25"/>
  <c r="S63" i="25"/>
  <c r="S111" i="25" s="1"/>
  <c r="F35" i="9" s="1"/>
  <c r="T82" i="25"/>
  <c r="T62" i="25"/>
  <c r="S61" i="25"/>
  <c r="T81" i="25"/>
  <c r="S74" i="25"/>
  <c r="R106" i="25"/>
  <c r="R104" i="25"/>
  <c r="R92" i="25"/>
  <c r="T80" i="25"/>
  <c r="Q112" i="25"/>
  <c r="T70" i="25"/>
  <c r="R53" i="25"/>
  <c r="R27" i="25"/>
  <c r="S27" i="25"/>
  <c r="S109" i="25" s="1"/>
  <c r="F31" i="9" s="1"/>
  <c r="T58" i="25"/>
  <c r="R90" i="25"/>
  <c r="S51" i="25"/>
  <c r="R35" i="25"/>
  <c r="J66" i="25"/>
  <c r="R47" i="25"/>
  <c r="J38" i="25"/>
  <c r="S38" i="25"/>
  <c r="J28" i="25"/>
  <c r="R102" i="25"/>
  <c r="S98" i="25"/>
  <c r="T78" i="25"/>
  <c r="R39" i="25"/>
  <c r="R37" i="25"/>
  <c r="S37" i="25"/>
  <c r="R31" i="25"/>
  <c r="S29" i="25"/>
  <c r="R29" i="25"/>
  <c r="S96" i="25"/>
  <c r="R100" i="25"/>
  <c r="R98" i="25"/>
  <c r="S49" i="25"/>
  <c r="J85" i="25"/>
  <c r="S85" i="25"/>
  <c r="J52" i="25"/>
  <c r="S52" i="25"/>
  <c r="S57" i="27"/>
  <c r="S87" i="27"/>
  <c r="R58" i="27"/>
  <c r="S58" i="27"/>
  <c r="R84" i="27"/>
  <c r="T37" i="27"/>
  <c r="R41" i="27"/>
  <c r="R28" i="27"/>
  <c r="R5" i="27"/>
  <c r="R103" i="27"/>
  <c r="S103" i="27"/>
  <c r="T46" i="27"/>
  <c r="T50" i="27"/>
  <c r="S4" i="20"/>
  <c r="J14" i="20"/>
  <c r="S10" i="20"/>
  <c r="S39" i="20"/>
  <c r="S43" i="20"/>
  <c r="T91" i="20"/>
  <c r="T113" i="20" s="1"/>
  <c r="G24" i="9" s="1"/>
  <c r="S32" i="20"/>
  <c r="S74" i="20"/>
  <c r="S55" i="20"/>
  <c r="S78" i="20"/>
  <c r="T6" i="20"/>
  <c r="T25" i="20"/>
  <c r="R26" i="20"/>
  <c r="S26" i="20"/>
  <c r="J21" i="20"/>
  <c r="R34" i="20"/>
  <c r="S95" i="20"/>
  <c r="J95" i="20"/>
  <c r="S3" i="20"/>
  <c r="S114" i="20" s="1"/>
  <c r="F22" i="9" s="1"/>
  <c r="O16" i="9" s="1"/>
  <c r="R67" i="20"/>
  <c r="T45" i="20"/>
  <c r="T35" i="20"/>
  <c r="S28" i="20"/>
  <c r="R106" i="20"/>
  <c r="R104" i="20"/>
  <c r="R75" i="20"/>
  <c r="R73" i="20"/>
  <c r="R63" i="20"/>
  <c r="R30" i="20"/>
  <c r="R25" i="20"/>
  <c r="R9" i="20"/>
  <c r="R15" i="27"/>
  <c r="S15" i="27"/>
  <c r="T101" i="27"/>
  <c r="R77" i="20"/>
  <c r="S77" i="20"/>
  <c r="T24" i="20"/>
  <c r="J43" i="25"/>
  <c r="T55" i="29"/>
  <c r="T79" i="25"/>
  <c r="T112" i="25" s="1"/>
  <c r="G33" i="9" s="1"/>
  <c r="R93" i="29"/>
  <c r="R75" i="29"/>
  <c r="S75" i="29"/>
  <c r="AA95" i="29"/>
  <c r="Z95" i="29"/>
  <c r="W95" i="29"/>
  <c r="Y95" i="29"/>
  <c r="V95" i="29"/>
  <c r="Y99" i="29"/>
  <c r="X95" i="29"/>
  <c r="AA99" i="29"/>
  <c r="W103" i="29"/>
  <c r="Y103" i="29"/>
  <c r="W99" i="29"/>
  <c r="X103" i="29"/>
  <c r="Z103" i="29"/>
  <c r="V99" i="29"/>
  <c r="X99" i="29"/>
  <c r="AA103" i="29"/>
  <c r="V103" i="29"/>
  <c r="Z99" i="29"/>
  <c r="Y27" i="29"/>
  <c r="X59" i="29"/>
  <c r="AA55" i="20"/>
  <c r="AA23" i="27"/>
  <c r="Z43" i="27"/>
  <c r="Y35" i="25"/>
  <c r="V47" i="20"/>
  <c r="X31" i="29"/>
  <c r="V71" i="25"/>
  <c r="Y103" i="25"/>
  <c r="X43" i="29"/>
  <c r="V91" i="25"/>
  <c r="AA71" i="27"/>
  <c r="Z75" i="29"/>
  <c r="W71" i="20"/>
  <c r="W3" i="27"/>
  <c r="AA39" i="27"/>
  <c r="AA31" i="29"/>
  <c r="X67" i="27"/>
  <c r="Z75" i="20"/>
  <c r="Z19" i="27"/>
  <c r="Z27" i="27"/>
  <c r="Y35" i="20"/>
  <c r="X43" i="25"/>
  <c r="X63" i="20"/>
  <c r="AA47" i="29"/>
  <c r="Z7" i="20"/>
  <c r="Z91" i="20"/>
  <c r="AA91" i="20"/>
  <c r="V87" i="29"/>
  <c r="W103" i="25"/>
  <c r="X99" i="27"/>
  <c r="V87" i="25"/>
  <c r="Y83" i="27"/>
  <c r="V79" i="29"/>
  <c r="Z27" i="25"/>
  <c r="Y23" i="27"/>
  <c r="X47" i="20"/>
  <c r="AA39" i="29"/>
  <c r="W75" i="27"/>
  <c r="Y11" i="20"/>
  <c r="W91" i="27"/>
  <c r="Y51" i="27"/>
  <c r="AA7" i="27"/>
  <c r="AA35" i="29"/>
  <c r="V95" i="25"/>
  <c r="Y87" i="25"/>
  <c r="Z3" i="27"/>
  <c r="AA67" i="27"/>
  <c r="X7" i="27"/>
  <c r="Y31" i="25"/>
  <c r="AA15" i="20"/>
  <c r="W39" i="27"/>
  <c r="Z35" i="20"/>
  <c r="W43" i="29"/>
  <c r="W67" i="20"/>
  <c r="X75" i="27"/>
  <c r="X39" i="27"/>
  <c r="AA31" i="20"/>
  <c r="Y31" i="27"/>
  <c r="Z71" i="20"/>
  <c r="W23" i="20"/>
  <c r="V39" i="20"/>
  <c r="V15" i="27"/>
  <c r="Y27" i="27"/>
  <c r="Y15" i="27"/>
  <c r="AA87" i="25"/>
  <c r="Z67" i="25"/>
  <c r="X67" i="25"/>
  <c r="Y39" i="25"/>
  <c r="Z55" i="20"/>
  <c r="W31" i="27"/>
  <c r="X63" i="29"/>
  <c r="V67" i="27"/>
  <c r="W75" i="29"/>
  <c r="Y43" i="29"/>
  <c r="X83" i="25"/>
  <c r="Y83" i="29"/>
  <c r="V47" i="25"/>
  <c r="AA99" i="27"/>
  <c r="W11" i="27"/>
  <c r="V11" i="27"/>
  <c r="X91" i="20"/>
  <c r="W47" i="20"/>
  <c r="Z63" i="29"/>
  <c r="V31" i="20"/>
  <c r="W67" i="27"/>
  <c r="AA3" i="20"/>
  <c r="X87" i="27"/>
  <c r="X23" i="27"/>
  <c r="Z31" i="20"/>
  <c r="AA91" i="25"/>
  <c r="V91" i="20"/>
  <c r="Z39" i="27"/>
  <c r="V27" i="25"/>
  <c r="W43" i="25"/>
  <c r="AA91" i="29"/>
  <c r="AA51" i="25"/>
  <c r="Y95" i="25"/>
  <c r="X71" i="29"/>
  <c r="V47" i="27"/>
  <c r="Y47" i="29"/>
  <c r="AA91" i="27"/>
  <c r="V51" i="27"/>
  <c r="W39" i="29"/>
  <c r="Y71" i="25"/>
  <c r="V67" i="25"/>
  <c r="V103" i="20"/>
  <c r="X95" i="20"/>
  <c r="W3" i="20"/>
  <c r="AA31" i="25"/>
  <c r="Z91" i="27"/>
  <c r="X87" i="25"/>
  <c r="V35" i="25"/>
  <c r="Y91" i="25"/>
  <c r="Y75" i="27"/>
  <c r="Y63" i="29"/>
  <c r="Y27" i="20"/>
  <c r="Y87" i="27"/>
  <c r="AA79" i="29"/>
  <c r="Z79" i="27"/>
  <c r="X55" i="25"/>
  <c r="X95" i="25"/>
  <c r="AA79" i="25"/>
  <c r="X19" i="20"/>
  <c r="V75" i="29"/>
  <c r="Y75" i="29"/>
  <c r="X31" i="27"/>
  <c r="W99" i="20"/>
  <c r="Z51" i="20"/>
  <c r="V103" i="25"/>
  <c r="AA75" i="25"/>
  <c r="W87" i="29"/>
  <c r="V55" i="25"/>
  <c r="V31" i="29"/>
  <c r="X39" i="25"/>
  <c r="Z47" i="27"/>
  <c r="W31" i="25"/>
  <c r="Z67" i="27"/>
  <c r="AA83" i="27"/>
  <c r="AA3" i="27"/>
  <c r="W43" i="27"/>
  <c r="W63" i="29"/>
  <c r="Z91" i="25"/>
  <c r="AA63" i="27"/>
  <c r="V75" i="25"/>
  <c r="X43" i="27"/>
  <c r="Z87" i="25"/>
  <c r="Y31" i="20"/>
  <c r="W103" i="27"/>
  <c r="W59" i="25"/>
  <c r="V27" i="29"/>
  <c r="Y7" i="20"/>
  <c r="V47" i="29"/>
  <c r="W19" i="20"/>
  <c r="X99" i="20"/>
  <c r="W51" i="25"/>
  <c r="Z59" i="25"/>
  <c r="Z27" i="20"/>
  <c r="Z23" i="27"/>
  <c r="V95" i="27"/>
  <c r="V55" i="27"/>
  <c r="AA95" i="27"/>
  <c r="W35" i="27"/>
  <c r="V35" i="20"/>
  <c r="Y47" i="25"/>
  <c r="AA103" i="27"/>
  <c r="W63" i="27"/>
  <c r="W75" i="25"/>
  <c r="Y87" i="29"/>
  <c r="V99" i="27"/>
  <c r="Y95" i="27"/>
  <c r="V59" i="25"/>
  <c r="X103" i="20"/>
  <c r="X27" i="25"/>
  <c r="AA31" i="27"/>
  <c r="W63" i="20"/>
  <c r="Y103" i="27"/>
  <c r="W79" i="27"/>
  <c r="V23" i="27"/>
  <c r="Z39" i="25"/>
  <c r="W55" i="29"/>
  <c r="AA43" i="25"/>
  <c r="Z55" i="29"/>
  <c r="V67" i="20"/>
  <c r="X51" i="25"/>
  <c r="Y63" i="20"/>
  <c r="Y3" i="20"/>
  <c r="V39" i="29"/>
  <c r="Z51" i="25"/>
  <c r="W71" i="25"/>
  <c r="W43" i="20"/>
  <c r="AA79" i="27"/>
  <c r="Y3" i="27"/>
  <c r="AA43" i="20"/>
  <c r="W99" i="25"/>
  <c r="W95" i="25"/>
  <c r="V43" i="27"/>
  <c r="W19" i="27"/>
  <c r="X79" i="25"/>
  <c r="Y103" i="20"/>
  <c r="V59" i="29"/>
  <c r="AA87" i="27"/>
  <c r="Z27" i="29"/>
  <c r="AA15" i="27"/>
  <c r="W55" i="20"/>
  <c r="AA103" i="20"/>
  <c r="Y99" i="20"/>
  <c r="X75" i="25"/>
  <c r="X55" i="20"/>
  <c r="W39" i="20"/>
  <c r="X15" i="27"/>
  <c r="AA55" i="27"/>
  <c r="AA27" i="25"/>
  <c r="V11" i="20"/>
  <c r="X11" i="27"/>
  <c r="Z95" i="20"/>
  <c r="Z59" i="29"/>
  <c r="Z95" i="27"/>
  <c r="Z11" i="20"/>
  <c r="W91" i="20"/>
  <c r="W79" i="25"/>
  <c r="W59" i="29"/>
  <c r="Y39" i="29"/>
  <c r="Z67" i="29"/>
  <c r="Y51" i="29"/>
  <c r="AA63" i="29"/>
  <c r="V71" i="20"/>
  <c r="V103" i="27"/>
  <c r="V75" i="27"/>
  <c r="W15" i="27"/>
  <c r="Y35" i="27"/>
  <c r="Z47" i="20"/>
  <c r="AA55" i="25"/>
  <c r="V59" i="20"/>
  <c r="V35" i="29"/>
  <c r="Z103" i="25"/>
  <c r="X31" i="25"/>
  <c r="X59" i="20"/>
  <c r="Z23" i="20"/>
  <c r="Y83" i="25"/>
  <c r="Y75" i="25"/>
  <c r="Y51" i="25"/>
  <c r="AA71" i="20"/>
  <c r="X23" i="20"/>
  <c r="X27" i="20"/>
  <c r="V35" i="27"/>
  <c r="AA47" i="20"/>
  <c r="X35" i="29"/>
  <c r="Y67" i="27"/>
  <c r="X87" i="29"/>
  <c r="X71" i="25"/>
  <c r="AA59" i="29"/>
  <c r="W95" i="20"/>
  <c r="W67" i="29"/>
  <c r="W75" i="20"/>
  <c r="W23" i="27"/>
  <c r="AA27" i="29"/>
  <c r="Y71" i="27"/>
  <c r="Z7" i="27"/>
  <c r="W95" i="27"/>
  <c r="W55" i="27"/>
  <c r="Z75" i="27"/>
  <c r="X3" i="20"/>
  <c r="Y55" i="25"/>
  <c r="Z55" i="27"/>
  <c r="W59" i="20"/>
  <c r="X43" i="20"/>
  <c r="Z83" i="29"/>
  <c r="W79" i="29"/>
  <c r="X103" i="25"/>
  <c r="V63" i="29"/>
  <c r="V3" i="27"/>
  <c r="X11" i="20"/>
  <c r="X51" i="20"/>
  <c r="X59" i="25"/>
  <c r="Z59" i="20"/>
  <c r="W91" i="29"/>
  <c r="W87" i="27"/>
  <c r="X83" i="29"/>
  <c r="V55" i="20"/>
  <c r="V39" i="27"/>
  <c r="Y19" i="27"/>
  <c r="Y59" i="27"/>
  <c r="Z39" i="29"/>
  <c r="X55" i="27"/>
  <c r="W39" i="25"/>
  <c r="V99" i="25"/>
  <c r="Z103" i="27"/>
  <c r="W71" i="29"/>
  <c r="AA67" i="29"/>
  <c r="AA63" i="20"/>
  <c r="V63" i="27"/>
  <c r="Z35" i="25"/>
  <c r="Y7" i="27"/>
  <c r="AA11" i="27"/>
  <c r="Y91" i="20"/>
  <c r="AA19" i="27"/>
  <c r="AA11" i="20"/>
  <c r="Z63" i="20"/>
  <c r="W67" i="25"/>
  <c r="Y43" i="27"/>
  <c r="Z35" i="27"/>
  <c r="Z31" i="27"/>
  <c r="X71" i="27"/>
  <c r="Y99" i="27"/>
  <c r="Y23" i="20"/>
  <c r="X63" i="27"/>
  <c r="Z63" i="27"/>
  <c r="Y55" i="29"/>
  <c r="V87" i="27"/>
  <c r="X39" i="29"/>
  <c r="W27" i="27"/>
  <c r="W83" i="29"/>
  <c r="AA7" i="20"/>
  <c r="W83" i="25"/>
  <c r="AA19" i="20"/>
  <c r="X7" i="20"/>
  <c r="Y47" i="20"/>
  <c r="AA55" i="29"/>
  <c r="V43" i="25"/>
  <c r="Z3" i="20"/>
  <c r="Y59" i="29"/>
  <c r="Z83" i="25"/>
  <c r="AA103" i="25"/>
  <c r="X95" i="27"/>
  <c r="W11" i="20"/>
  <c r="V27" i="20"/>
  <c r="Y15" i="20"/>
  <c r="X31" i="20"/>
  <c r="X55" i="29"/>
  <c r="AA35" i="27"/>
  <c r="V63" i="25"/>
  <c r="X35" i="20"/>
  <c r="W27" i="25"/>
  <c r="X63" i="25"/>
  <c r="W99" i="27"/>
  <c r="AA75" i="27"/>
  <c r="V99" i="20"/>
  <c r="Y55" i="27"/>
  <c r="X79" i="29"/>
  <c r="V71" i="27"/>
  <c r="AA71" i="25"/>
  <c r="Z75" i="25"/>
  <c r="AA59" i="20"/>
  <c r="Y35" i="29"/>
  <c r="W87" i="25"/>
  <c r="AA47" i="27"/>
  <c r="Y79" i="29"/>
  <c r="AA67" i="20"/>
  <c r="Z87" i="29"/>
  <c r="W47" i="25"/>
  <c r="Z95" i="25"/>
  <c r="Y59" i="25"/>
  <c r="X83" i="27"/>
  <c r="Z71" i="27"/>
  <c r="X91" i="25"/>
  <c r="Z19" i="20"/>
  <c r="W91" i="25"/>
  <c r="Y63" i="27"/>
  <c r="AA27" i="27"/>
  <c r="AA35" i="25"/>
  <c r="Z71" i="25"/>
  <c r="W27" i="20"/>
  <c r="V15" i="20"/>
  <c r="AA43" i="27"/>
  <c r="Z79" i="25"/>
  <c r="W7" i="20"/>
  <c r="AA75" i="29"/>
  <c r="Y55" i="20"/>
  <c r="W31" i="20"/>
  <c r="Y43" i="25"/>
  <c r="V19" i="27"/>
  <c r="V51" i="20"/>
  <c r="Z43" i="25"/>
  <c r="V51" i="29"/>
  <c r="X99" i="25"/>
  <c r="Z79" i="29"/>
  <c r="Y43" i="20"/>
  <c r="Z43" i="29"/>
  <c r="V71" i="29"/>
  <c r="V59" i="27"/>
  <c r="AA83" i="25"/>
  <c r="V19" i="20"/>
  <c r="Z31" i="29"/>
  <c r="Y31" i="29"/>
  <c r="V63" i="20"/>
  <c r="Y91" i="27"/>
  <c r="W51" i="27"/>
  <c r="X35" i="25"/>
  <c r="Z15" i="27"/>
  <c r="X91" i="27"/>
  <c r="X67" i="29"/>
  <c r="X47" i="27"/>
  <c r="X71" i="20"/>
  <c r="AA63" i="25"/>
  <c r="Z67" i="20"/>
  <c r="Z99" i="25"/>
  <c r="W7" i="27"/>
  <c r="V91" i="29"/>
  <c r="Z31" i="25"/>
  <c r="X103" i="27"/>
  <c r="V7" i="20"/>
  <c r="W35" i="25"/>
  <c r="V67" i="29"/>
  <c r="Z99" i="20"/>
  <c r="W63" i="25"/>
  <c r="Y39" i="27"/>
  <c r="Z103" i="20"/>
  <c r="AA47" i="25"/>
  <c r="V79" i="25"/>
  <c r="Y39" i="20"/>
  <c r="V83" i="25"/>
  <c r="AA59" i="25"/>
  <c r="AA35" i="20"/>
  <c r="W51" i="20"/>
  <c r="Y79" i="27"/>
  <c r="W15" i="20"/>
  <c r="Y67" i="25"/>
  <c r="Z47" i="25"/>
  <c r="X19" i="27"/>
  <c r="V83" i="29"/>
  <c r="AA99" i="25"/>
  <c r="X91" i="29"/>
  <c r="Y51" i="20"/>
  <c r="X35" i="27"/>
  <c r="W31" i="29"/>
  <c r="AA39" i="25"/>
  <c r="Y63" i="25"/>
  <c r="Z99" i="27"/>
  <c r="Z83" i="27"/>
  <c r="X15" i="20"/>
  <c r="W47" i="27"/>
  <c r="Z39" i="20"/>
  <c r="W71" i="27"/>
  <c r="Y47" i="27"/>
  <c r="Y59" i="20"/>
  <c r="AA71" i="29"/>
  <c r="W55" i="25"/>
  <c r="V79" i="27"/>
  <c r="AA95" i="25"/>
  <c r="Y75" i="20"/>
  <c r="V3" i="20"/>
  <c r="Z59" i="27"/>
  <c r="W27" i="29"/>
  <c r="V91" i="27"/>
  <c r="X51" i="27"/>
  <c r="Z51" i="27"/>
  <c r="X3" i="27"/>
  <c r="X47" i="29"/>
  <c r="Z35" i="29"/>
  <c r="Y67" i="20"/>
  <c r="Y71" i="20"/>
  <c r="Z47" i="29"/>
  <c r="V39" i="25"/>
  <c r="Z51" i="29"/>
  <c r="Y95" i="20"/>
  <c r="AA51" i="27"/>
  <c r="V27" i="27"/>
  <c r="Y91" i="29"/>
  <c r="Z43" i="20"/>
  <c r="Y99" i="25"/>
  <c r="X27" i="29"/>
  <c r="Z71" i="29"/>
  <c r="X47" i="25"/>
  <c r="X79" i="27"/>
  <c r="AA99" i="20"/>
  <c r="V43" i="20"/>
  <c r="V31" i="27"/>
  <c r="AA87" i="29"/>
  <c r="V23" i="20"/>
  <c r="Y71" i="29"/>
  <c r="W47" i="29"/>
  <c r="W59" i="27"/>
  <c r="Y67" i="29"/>
  <c r="AA39" i="20"/>
  <c r="Z63" i="25"/>
  <c r="W35" i="20"/>
  <c r="Z91" i="29"/>
  <c r="X51" i="29"/>
  <c r="Z11" i="27"/>
  <c r="Y11" i="27"/>
  <c r="V43" i="29"/>
  <c r="AA83" i="29"/>
  <c r="X67" i="20"/>
  <c r="X27" i="27"/>
  <c r="W51" i="29"/>
  <c r="X59" i="27"/>
  <c r="W83" i="27"/>
  <c r="V95" i="20"/>
  <c r="V31" i="25"/>
  <c r="V7" i="27"/>
  <c r="Z15" i="20"/>
  <c r="AA67" i="25"/>
  <c r="V75" i="20"/>
  <c r="V55" i="29"/>
  <c r="Y79" i="25"/>
  <c r="AA59" i="27"/>
  <c r="Y27" i="25"/>
  <c r="Z55" i="25"/>
  <c r="V51" i="25"/>
  <c r="Z87" i="27"/>
  <c r="AA43" i="29"/>
  <c r="X39" i="20"/>
  <c r="X75" i="20"/>
  <c r="AA51" i="29"/>
  <c r="Y19" i="20"/>
  <c r="X75" i="29"/>
  <c r="AA75" i="20"/>
  <c r="AA95" i="20"/>
  <c r="AA23" i="20"/>
  <c r="AA51" i="20"/>
  <c r="V83" i="27"/>
  <c r="W35" i="29"/>
  <c r="W103" i="20"/>
  <c r="AA27" i="20"/>
  <c r="AI3" i="10"/>
  <c r="S41" i="20" l="1"/>
  <c r="S40" i="20"/>
  <c r="T53" i="27"/>
  <c r="S104" i="20"/>
  <c r="S92" i="20"/>
  <c r="S44" i="25"/>
  <c r="S37" i="20"/>
  <c r="S27" i="20"/>
  <c r="S109" i="20" s="1"/>
  <c r="F19" i="9" s="1"/>
  <c r="S61" i="20"/>
  <c r="J51" i="20"/>
  <c r="S8" i="20"/>
  <c r="S42" i="27"/>
  <c r="S49" i="20"/>
  <c r="S63" i="20"/>
  <c r="S41" i="27"/>
  <c r="S94" i="25"/>
  <c r="S75" i="20"/>
  <c r="S19" i="27"/>
  <c r="J33" i="25"/>
  <c r="S72" i="20"/>
  <c r="T17" i="20"/>
  <c r="S96" i="29"/>
  <c r="S71" i="29"/>
  <c r="T101" i="20"/>
  <c r="T97" i="20"/>
  <c r="S48" i="29"/>
  <c r="S7" i="20"/>
  <c r="S66" i="27"/>
  <c r="S101" i="20"/>
  <c r="S31" i="25"/>
  <c r="S58" i="29"/>
  <c r="S41" i="25"/>
  <c r="S100" i="20"/>
  <c r="J88" i="25"/>
  <c r="S70" i="29"/>
  <c r="J78" i="25"/>
  <c r="S114" i="25"/>
  <c r="F34" i="9" s="1"/>
  <c r="P16" i="9" s="1"/>
  <c r="S59" i="20"/>
  <c r="J98" i="27"/>
  <c r="S76" i="27"/>
  <c r="S54" i="27"/>
  <c r="S68" i="25"/>
  <c r="S56" i="29"/>
  <c r="J89" i="25"/>
  <c r="S100" i="29"/>
  <c r="S37" i="29"/>
  <c r="T31" i="29"/>
  <c r="S58" i="25"/>
  <c r="T50" i="25"/>
  <c r="S25" i="20"/>
  <c r="S45" i="29"/>
  <c r="S92" i="25"/>
  <c r="S35" i="25"/>
  <c r="S96" i="27"/>
  <c r="S47" i="29"/>
  <c r="S110" i="29" s="1"/>
  <c r="F44" i="9" s="1"/>
  <c r="T98" i="27"/>
  <c r="T100" i="27"/>
  <c r="T8" i="20"/>
  <c r="S68" i="20"/>
  <c r="S92" i="27"/>
  <c r="S45" i="25"/>
  <c r="S93" i="25"/>
  <c r="S69" i="29"/>
  <c r="T10" i="20"/>
  <c r="S58" i="20"/>
  <c r="S8" i="27"/>
  <c r="S100" i="25"/>
  <c r="S34" i="29"/>
  <c r="T19" i="20"/>
  <c r="T75" i="25"/>
  <c r="T73" i="25"/>
  <c r="S88" i="29"/>
  <c r="S86" i="29"/>
  <c r="T76" i="29"/>
  <c r="T74" i="29"/>
  <c r="T72" i="29"/>
  <c r="S91" i="29"/>
  <c r="S113" i="29" s="1"/>
  <c r="F48" i="9" s="1"/>
  <c r="S34" i="20"/>
  <c r="S102" i="25"/>
  <c r="S67" i="29"/>
  <c r="S35" i="20"/>
  <c r="S35" i="29"/>
  <c r="T89" i="27"/>
  <c r="J95" i="25"/>
  <c r="S106" i="27"/>
  <c r="S68" i="29"/>
  <c r="S57" i="20"/>
  <c r="S101" i="29"/>
  <c r="S57" i="29"/>
  <c r="T16" i="20"/>
  <c r="S67" i="25"/>
  <c r="S13" i="20"/>
  <c r="S87" i="29"/>
  <c r="S46" i="20"/>
  <c r="T40" i="20"/>
  <c r="T34" i="20"/>
  <c r="T32" i="20"/>
  <c r="I113" i="25"/>
  <c r="J47" i="27"/>
  <c r="T32" i="27"/>
  <c r="T30" i="27"/>
  <c r="T29" i="27"/>
  <c r="S44" i="27"/>
  <c r="T25" i="27"/>
  <c r="T17" i="27"/>
  <c r="S26" i="27"/>
  <c r="S17" i="27"/>
  <c r="T14" i="27"/>
  <c r="S10" i="27"/>
  <c r="S5" i="27"/>
  <c r="I110" i="27"/>
  <c r="S60" i="27"/>
  <c r="S67" i="20"/>
  <c r="T72" i="27"/>
  <c r="S77" i="27"/>
  <c r="S63" i="27"/>
  <c r="R136" i="29"/>
  <c r="R126" i="29"/>
  <c r="R135" i="25"/>
  <c r="R125" i="25"/>
  <c r="Q108" i="20"/>
  <c r="R86" i="29"/>
  <c r="R135" i="29" s="1"/>
  <c r="S64" i="25"/>
  <c r="S12" i="27"/>
  <c r="J130" i="27"/>
  <c r="J120" i="27"/>
  <c r="Q131" i="27"/>
  <c r="T131" i="27" s="1"/>
  <c r="Q121" i="27"/>
  <c r="T121" i="27" s="1"/>
  <c r="J31" i="27"/>
  <c r="T35" i="27"/>
  <c r="T57" i="27"/>
  <c r="R60" i="27"/>
  <c r="Q134" i="27"/>
  <c r="T134" i="27" s="1"/>
  <c r="Q124" i="27"/>
  <c r="T124" i="27" s="1"/>
  <c r="T97" i="27"/>
  <c r="T22" i="20"/>
  <c r="S22" i="20"/>
  <c r="S17" i="20"/>
  <c r="R130" i="20"/>
  <c r="R120" i="20"/>
  <c r="J104" i="25"/>
  <c r="J57" i="25"/>
  <c r="I124" i="29"/>
  <c r="I134" i="29"/>
  <c r="I109" i="29"/>
  <c r="I122" i="29"/>
  <c r="I132" i="29"/>
  <c r="J52" i="29"/>
  <c r="T103" i="20"/>
  <c r="T48" i="20"/>
  <c r="T44" i="20"/>
  <c r="T42" i="20"/>
  <c r="T77" i="25"/>
  <c r="R58" i="25"/>
  <c r="R88" i="29"/>
  <c r="Q109" i="25"/>
  <c r="R134" i="20"/>
  <c r="R124" i="20"/>
  <c r="T36" i="27"/>
  <c r="T38" i="27"/>
  <c r="S99" i="27"/>
  <c r="I121" i="20"/>
  <c r="I131" i="20"/>
  <c r="I130" i="20"/>
  <c r="I120" i="20"/>
  <c r="T63" i="25"/>
  <c r="T111" i="25" s="1"/>
  <c r="G35" i="9" s="1"/>
  <c r="I124" i="25"/>
  <c r="I134" i="25"/>
  <c r="I132" i="25"/>
  <c r="I122" i="25"/>
  <c r="Q136" i="20"/>
  <c r="T136" i="20" s="1"/>
  <c r="Q126" i="20"/>
  <c r="T126" i="20" s="1"/>
  <c r="T106" i="25"/>
  <c r="S75" i="25"/>
  <c r="S50" i="25"/>
  <c r="Q122" i="25"/>
  <c r="Q132" i="25"/>
  <c r="Q115" i="29"/>
  <c r="R122" i="25"/>
  <c r="R132" i="25"/>
  <c r="S9" i="27"/>
  <c r="T62" i="27"/>
  <c r="T65" i="27"/>
  <c r="T99" i="27"/>
  <c r="I136" i="20"/>
  <c r="I126" i="20"/>
  <c r="I109" i="20"/>
  <c r="I122" i="20"/>
  <c r="I132" i="20"/>
  <c r="T21" i="20"/>
  <c r="T15" i="20"/>
  <c r="T108" i="20" s="1"/>
  <c r="G18" i="9" s="1"/>
  <c r="Q131" i="20"/>
  <c r="T131" i="20" s="1"/>
  <c r="Q121" i="20"/>
  <c r="T121" i="20" s="1"/>
  <c r="T3" i="20"/>
  <c r="T107" i="20" s="1"/>
  <c r="G17" i="9" s="1"/>
  <c r="Q130" i="20"/>
  <c r="Q120" i="20"/>
  <c r="T120" i="20" s="1"/>
  <c r="J71" i="25"/>
  <c r="J39" i="29"/>
  <c r="R126" i="20"/>
  <c r="R136" i="20"/>
  <c r="S106" i="25"/>
  <c r="T98" i="25"/>
  <c r="T92" i="25"/>
  <c r="T90" i="25"/>
  <c r="S69" i="25"/>
  <c r="T46" i="25"/>
  <c r="T44" i="25"/>
  <c r="Q110" i="29"/>
  <c r="Q122" i="29"/>
  <c r="Q132" i="29"/>
  <c r="T70" i="29"/>
  <c r="J112" i="29"/>
  <c r="J125" i="29"/>
  <c r="J135" i="29"/>
  <c r="S47" i="25"/>
  <c r="S110" i="25" s="1"/>
  <c r="F32" i="9" s="1"/>
  <c r="S42" i="20"/>
  <c r="S74" i="27"/>
  <c r="R113" i="27"/>
  <c r="R126" i="27"/>
  <c r="R136" i="27"/>
  <c r="J125" i="27"/>
  <c r="J135" i="27"/>
  <c r="J106" i="20"/>
  <c r="T38" i="20"/>
  <c r="T14" i="20"/>
  <c r="I123" i="29"/>
  <c r="I133" i="29"/>
  <c r="Q111" i="20"/>
  <c r="Q134" i="20"/>
  <c r="T134" i="20" s="1"/>
  <c r="Q124" i="20"/>
  <c r="T124" i="20" s="1"/>
  <c r="Q134" i="25"/>
  <c r="T134" i="25" s="1"/>
  <c r="Q124" i="25"/>
  <c r="T124" i="25" s="1"/>
  <c r="Q126" i="29"/>
  <c r="T126" i="29" s="1"/>
  <c r="Q136" i="29"/>
  <c r="T136" i="29" s="1"/>
  <c r="S60" i="29"/>
  <c r="S85" i="27"/>
  <c r="S77" i="25"/>
  <c r="S44" i="20"/>
  <c r="S36" i="25"/>
  <c r="S102" i="29"/>
  <c r="T27" i="27"/>
  <c r="Q122" i="27"/>
  <c r="T122" i="27" s="1"/>
  <c r="Q132" i="27"/>
  <c r="T132" i="27" s="1"/>
  <c r="Q133" i="27"/>
  <c r="T133" i="27" s="1"/>
  <c r="Q123" i="27"/>
  <c r="T123" i="27" s="1"/>
  <c r="Q126" i="27"/>
  <c r="T126" i="27" s="1"/>
  <c r="Q136" i="27"/>
  <c r="T136" i="27" s="1"/>
  <c r="T103" i="27"/>
  <c r="I112" i="27"/>
  <c r="I135" i="27"/>
  <c r="I125" i="27"/>
  <c r="T38" i="25"/>
  <c r="S93" i="29"/>
  <c r="T89" i="29"/>
  <c r="S11" i="27"/>
  <c r="S72" i="29"/>
  <c r="S48" i="20"/>
  <c r="I108" i="27"/>
  <c r="I131" i="27"/>
  <c r="I121" i="27"/>
  <c r="T39" i="27"/>
  <c r="T40" i="27"/>
  <c r="T41" i="27"/>
  <c r="T95" i="27"/>
  <c r="T36" i="20"/>
  <c r="T71" i="25"/>
  <c r="I123" i="25"/>
  <c r="I133" i="25"/>
  <c r="T33" i="29"/>
  <c r="T106" i="20"/>
  <c r="T51" i="20"/>
  <c r="T47" i="20"/>
  <c r="T110" i="20" s="1"/>
  <c r="G20" i="9" s="1"/>
  <c r="Q123" i="20"/>
  <c r="T123" i="20" s="1"/>
  <c r="Q133" i="20"/>
  <c r="T133" i="20" s="1"/>
  <c r="S89" i="29"/>
  <c r="Q112" i="29"/>
  <c r="T10" i="27"/>
  <c r="T51" i="27"/>
  <c r="T99" i="20"/>
  <c r="I123" i="20"/>
  <c r="I133" i="20"/>
  <c r="I125" i="29"/>
  <c r="I135" i="29"/>
  <c r="T96" i="20"/>
  <c r="R133" i="20"/>
  <c r="R123" i="20"/>
  <c r="T32" i="25"/>
  <c r="T28" i="25"/>
  <c r="Q125" i="29"/>
  <c r="T125" i="29" s="1"/>
  <c r="Q135" i="29"/>
  <c r="T135" i="29" s="1"/>
  <c r="Q114" i="29"/>
  <c r="S105" i="20"/>
  <c r="S82" i="25"/>
  <c r="T99" i="25"/>
  <c r="S102" i="27"/>
  <c r="S32" i="27"/>
  <c r="T29" i="25"/>
  <c r="T9" i="27"/>
  <c r="T19" i="27"/>
  <c r="T21" i="27"/>
  <c r="T22" i="27"/>
  <c r="T44" i="27"/>
  <c r="T45" i="27"/>
  <c r="T55" i="27"/>
  <c r="S78" i="27"/>
  <c r="T96" i="27"/>
  <c r="S103" i="20"/>
  <c r="S9" i="20"/>
  <c r="I126" i="29"/>
  <c r="I136" i="29"/>
  <c r="T78" i="29"/>
  <c r="R37" i="29"/>
  <c r="T27" i="20"/>
  <c r="T109" i="20" s="1"/>
  <c r="G19" i="9" s="1"/>
  <c r="Q132" i="20"/>
  <c r="T132" i="20" s="1"/>
  <c r="Q122" i="20"/>
  <c r="T68" i="25"/>
  <c r="S53" i="25"/>
  <c r="R125" i="29"/>
  <c r="S32" i="29"/>
  <c r="S55" i="27"/>
  <c r="S16" i="20"/>
  <c r="S82" i="29"/>
  <c r="S28" i="27"/>
  <c r="Q113" i="27"/>
  <c r="I126" i="25"/>
  <c r="I136" i="25"/>
  <c r="S29" i="20"/>
  <c r="Q113" i="25"/>
  <c r="Q126" i="25"/>
  <c r="T126" i="25" s="1"/>
  <c r="Q136" i="25"/>
  <c r="T136" i="25" s="1"/>
  <c r="Q110" i="25"/>
  <c r="Q123" i="25"/>
  <c r="T123" i="25" s="1"/>
  <c r="Q133" i="25"/>
  <c r="T133" i="25" s="1"/>
  <c r="Q124" i="29"/>
  <c r="T124" i="29" s="1"/>
  <c r="Q134" i="29"/>
  <c r="T134" i="29" s="1"/>
  <c r="Q120" i="27"/>
  <c r="Q130" i="27"/>
  <c r="S33" i="27"/>
  <c r="T47" i="27"/>
  <c r="I133" i="27"/>
  <c r="I123" i="27"/>
  <c r="T48" i="27"/>
  <c r="I107" i="20"/>
  <c r="I125" i="25"/>
  <c r="I135" i="25"/>
  <c r="R126" i="25"/>
  <c r="R136" i="25"/>
  <c r="T64" i="25"/>
  <c r="T100" i="29"/>
  <c r="T98" i="29"/>
  <c r="T94" i="29"/>
  <c r="Q113" i="29"/>
  <c r="R124" i="29"/>
  <c r="S124" i="29" s="1"/>
  <c r="R134" i="29"/>
  <c r="S134" i="29" s="1"/>
  <c r="S59" i="29"/>
  <c r="T51" i="29"/>
  <c r="Q123" i="29"/>
  <c r="T123" i="29" s="1"/>
  <c r="Q133" i="29"/>
  <c r="T133" i="29" s="1"/>
  <c r="S90" i="29"/>
  <c r="I107" i="27"/>
  <c r="I130" i="27"/>
  <c r="I120" i="27"/>
  <c r="I122" i="27"/>
  <c r="I132" i="27"/>
  <c r="I126" i="27"/>
  <c r="I136" i="27"/>
  <c r="Q135" i="27"/>
  <c r="T135" i="27" s="1"/>
  <c r="Q125" i="27"/>
  <c r="T125" i="27" s="1"/>
  <c r="T60" i="20"/>
  <c r="T56" i="20"/>
  <c r="S83" i="25"/>
  <c r="Q125" i="25"/>
  <c r="T125" i="25" s="1"/>
  <c r="Q135" i="25"/>
  <c r="T135" i="25" s="1"/>
  <c r="R133" i="29"/>
  <c r="S133" i="29" s="1"/>
  <c r="R123" i="29"/>
  <c r="T39" i="29"/>
  <c r="T64" i="20"/>
  <c r="I124" i="20"/>
  <c r="I134" i="20"/>
  <c r="T74" i="20"/>
  <c r="T63" i="20"/>
  <c r="J70" i="20"/>
  <c r="T63" i="27"/>
  <c r="S67" i="27"/>
  <c r="T77" i="27"/>
  <c r="T71" i="27"/>
  <c r="I111" i="27"/>
  <c r="I124" i="27"/>
  <c r="I134" i="27"/>
  <c r="T70" i="27"/>
  <c r="T114" i="20"/>
  <c r="G22" i="9" s="1"/>
  <c r="R9" i="27"/>
  <c r="J33" i="27"/>
  <c r="J109" i="27" s="1"/>
  <c r="T42" i="27"/>
  <c r="J74" i="27"/>
  <c r="J101" i="25"/>
  <c r="J46" i="25"/>
  <c r="J30" i="25"/>
  <c r="J78" i="29"/>
  <c r="J124" i="29" s="1"/>
  <c r="R112" i="25"/>
  <c r="R69" i="25"/>
  <c r="R124" i="25" s="1"/>
  <c r="S124" i="25" s="1"/>
  <c r="R59" i="29"/>
  <c r="Q114" i="20"/>
  <c r="Q109" i="20"/>
  <c r="S107" i="20"/>
  <c r="F17" i="9" s="1"/>
  <c r="S62" i="20"/>
  <c r="S65" i="27"/>
  <c r="S19" i="20"/>
  <c r="S93" i="27"/>
  <c r="S27" i="27"/>
  <c r="S99" i="25"/>
  <c r="T61" i="27"/>
  <c r="R63" i="27"/>
  <c r="T74" i="27"/>
  <c r="T102" i="27"/>
  <c r="J76" i="25"/>
  <c r="S77" i="29"/>
  <c r="R89" i="29"/>
  <c r="S14" i="27"/>
  <c r="J22" i="20"/>
  <c r="J108" i="20" s="1"/>
  <c r="T5" i="20"/>
  <c r="R44" i="27"/>
  <c r="T75" i="20"/>
  <c r="J41" i="29"/>
  <c r="R50" i="25"/>
  <c r="S54" i="20"/>
  <c r="S94" i="20"/>
  <c r="Q108" i="27"/>
  <c r="R29" i="20"/>
  <c r="R122" i="20" s="1"/>
  <c r="R32" i="29"/>
  <c r="R109" i="29" s="1"/>
  <c r="T77" i="29"/>
  <c r="T3" i="27"/>
  <c r="S12" i="20"/>
  <c r="J105" i="29"/>
  <c r="Q113" i="20"/>
  <c r="S18" i="27"/>
  <c r="S42" i="25"/>
  <c r="T27" i="29"/>
  <c r="T109" i="29" s="1"/>
  <c r="G43" i="9" s="1"/>
  <c r="S65" i="20"/>
  <c r="S50" i="20"/>
  <c r="S84" i="27"/>
  <c r="S20" i="20"/>
  <c r="S43" i="27"/>
  <c r="S11" i="20"/>
  <c r="S3" i="27"/>
  <c r="S53" i="20"/>
  <c r="T92" i="29"/>
  <c r="S66" i="20"/>
  <c r="S6" i="27"/>
  <c r="T67" i="27"/>
  <c r="T76" i="27"/>
  <c r="J112" i="27"/>
  <c r="J103" i="20"/>
  <c r="J60" i="20"/>
  <c r="R17" i="20"/>
  <c r="T47" i="25"/>
  <c r="T110" i="25" s="1"/>
  <c r="G32" i="9" s="1"/>
  <c r="R113" i="20"/>
  <c r="R75" i="25"/>
  <c r="R134" i="25" s="1"/>
  <c r="S134" i="25" s="1"/>
  <c r="T88" i="29"/>
  <c r="T35" i="29"/>
  <c r="J47" i="20"/>
  <c r="S21" i="20"/>
  <c r="S62" i="27"/>
  <c r="S40" i="29"/>
  <c r="R60" i="29"/>
  <c r="Q109" i="29"/>
  <c r="S79" i="29"/>
  <c r="S25" i="27"/>
  <c r="S64" i="27"/>
  <c r="S91" i="20"/>
  <c r="S113" i="20" s="1"/>
  <c r="F24" i="9" s="1"/>
  <c r="J73" i="27"/>
  <c r="R78" i="27"/>
  <c r="T12" i="20"/>
  <c r="T97" i="29"/>
  <c r="J49" i="29"/>
  <c r="Q115" i="25"/>
  <c r="Q110" i="27"/>
  <c r="T28" i="27"/>
  <c r="R110" i="29"/>
  <c r="I115" i="29"/>
  <c r="Q116" i="29" s="1"/>
  <c r="S83" i="27"/>
  <c r="S33" i="20"/>
  <c r="S95" i="27"/>
  <c r="S81" i="27"/>
  <c r="Q111" i="25"/>
  <c r="S48" i="25"/>
  <c r="T30" i="29"/>
  <c r="S93" i="20"/>
  <c r="S34" i="25"/>
  <c r="S95" i="29"/>
  <c r="T43" i="27"/>
  <c r="T52" i="27"/>
  <c r="T67" i="20"/>
  <c r="I113" i="29"/>
  <c r="S62" i="29"/>
  <c r="T16" i="27"/>
  <c r="S65" i="25"/>
  <c r="S38" i="27"/>
  <c r="S91" i="27"/>
  <c r="S45" i="27"/>
  <c r="T43" i="25"/>
  <c r="R109" i="25"/>
  <c r="T12" i="27"/>
  <c r="T15" i="27"/>
  <c r="I115" i="20"/>
  <c r="S38" i="20"/>
  <c r="S50" i="27"/>
  <c r="S61" i="27"/>
  <c r="S51" i="27"/>
  <c r="S40" i="27"/>
  <c r="T75" i="27"/>
  <c r="S94" i="27"/>
  <c r="S73" i="20"/>
  <c r="T93" i="29"/>
  <c r="I110" i="20"/>
  <c r="S81" i="25"/>
  <c r="S69" i="20"/>
  <c r="T37" i="20"/>
  <c r="S46" i="27"/>
  <c r="S72" i="27"/>
  <c r="S46" i="29"/>
  <c r="I113" i="27"/>
  <c r="T94" i="27"/>
  <c r="T79" i="27"/>
  <c r="T112" i="27" s="1"/>
  <c r="G9" i="9" s="1"/>
  <c r="T85" i="29"/>
  <c r="S71" i="20"/>
  <c r="S32" i="25"/>
  <c r="S97" i="29"/>
  <c r="J103" i="29"/>
  <c r="J126" i="29" s="1"/>
  <c r="T31" i="27"/>
  <c r="T34" i="27"/>
  <c r="T90" i="27"/>
  <c r="I111" i="20"/>
  <c r="S24" i="27"/>
  <c r="S14" i="20"/>
  <c r="J105" i="25"/>
  <c r="S91" i="25"/>
  <c r="S113" i="25" s="1"/>
  <c r="F36" i="9" s="1"/>
  <c r="R46" i="20"/>
  <c r="Q114" i="25"/>
  <c r="R113" i="25"/>
  <c r="S30" i="27"/>
  <c r="S80" i="25"/>
  <c r="Q115" i="20"/>
  <c r="I110" i="29"/>
  <c r="R113" i="29"/>
  <c r="S52" i="27"/>
  <c r="S70" i="27"/>
  <c r="S7" i="27"/>
  <c r="T91" i="25"/>
  <c r="T113" i="25" s="1"/>
  <c r="G36" i="9" s="1"/>
  <c r="I111" i="29"/>
  <c r="S52" i="20"/>
  <c r="S36" i="20"/>
  <c r="R12" i="27"/>
  <c r="T81" i="27"/>
  <c r="I114" i="29"/>
  <c r="T95" i="25"/>
  <c r="S104" i="27"/>
  <c r="T65" i="20"/>
  <c r="Q110" i="20"/>
  <c r="S82" i="27"/>
  <c r="J29" i="29"/>
  <c r="S64" i="29"/>
  <c r="S53" i="27"/>
  <c r="S73" i="25"/>
  <c r="T68" i="27"/>
  <c r="T85" i="27"/>
  <c r="T95" i="20"/>
  <c r="I112" i="29"/>
  <c r="S16" i="27"/>
  <c r="X111" i="29"/>
  <c r="E47" i="9" s="1"/>
  <c r="W113" i="29"/>
  <c r="D48" i="9" s="1"/>
  <c r="Y111" i="29"/>
  <c r="X111" i="25"/>
  <c r="E35" i="9" s="1"/>
  <c r="V110" i="25"/>
  <c r="C32" i="9" s="1"/>
  <c r="X111" i="20"/>
  <c r="E23" i="9" s="1"/>
  <c r="X113" i="27"/>
  <c r="E12" i="9" s="1"/>
  <c r="AA110" i="25"/>
  <c r="W108" i="20"/>
  <c r="D18" i="9" s="1"/>
  <c r="AA109" i="20"/>
  <c r="AA110" i="20"/>
  <c r="W111" i="27"/>
  <c r="D11" i="9" s="1"/>
  <c r="Y110" i="27"/>
  <c r="Z112" i="27"/>
  <c r="V113" i="29"/>
  <c r="C48" i="9" s="1"/>
  <c r="X110" i="29"/>
  <c r="E44" i="9" s="1"/>
  <c r="Z112" i="29"/>
  <c r="AA111" i="25"/>
  <c r="AA109" i="25"/>
  <c r="V112" i="25"/>
  <c r="C33" i="9" s="1"/>
  <c r="Z111" i="25"/>
  <c r="Z112" i="25"/>
  <c r="Y108" i="20"/>
  <c r="AA114" i="20"/>
  <c r="Z113" i="20"/>
  <c r="Y107" i="27"/>
  <c r="Y114" i="27"/>
  <c r="W110" i="27"/>
  <c r="D8" i="9" s="1"/>
  <c r="Y113" i="27"/>
  <c r="Z113" i="27"/>
  <c r="Z110" i="29"/>
  <c r="V111" i="25"/>
  <c r="C35" i="9" s="1"/>
  <c r="X110" i="27"/>
  <c r="E8" i="9" s="1"/>
  <c r="W111" i="29"/>
  <c r="D47" i="9" s="1"/>
  <c r="Z113" i="25"/>
  <c r="W112" i="25"/>
  <c r="D33" i="9" s="1"/>
  <c r="Z110" i="25"/>
  <c r="X112" i="25"/>
  <c r="E33" i="9" s="1"/>
  <c r="V114" i="20"/>
  <c r="C22" i="9" s="1"/>
  <c r="V107" i="20"/>
  <c r="C17" i="9" s="1"/>
  <c r="Z109" i="20"/>
  <c r="W109" i="27"/>
  <c r="D7" i="9" s="1"/>
  <c r="Z109" i="27"/>
  <c r="V110" i="27"/>
  <c r="C8" i="9" s="1"/>
  <c r="X109" i="27"/>
  <c r="E7" i="9" s="1"/>
  <c r="Y112" i="29"/>
  <c r="Z109" i="29"/>
  <c r="Z114" i="29"/>
  <c r="Y114" i="29"/>
  <c r="Y109" i="29"/>
  <c r="Z113" i="29"/>
  <c r="V114" i="29"/>
  <c r="C46" i="9" s="1"/>
  <c r="V109" i="29"/>
  <c r="C43" i="9" s="1"/>
  <c r="Y114" i="25"/>
  <c r="Y109" i="25"/>
  <c r="Y113" i="20"/>
  <c r="Y110" i="20"/>
  <c r="AA110" i="27"/>
  <c r="AA109" i="27"/>
  <c r="Y110" i="29"/>
  <c r="Y110" i="25"/>
  <c r="Z110" i="20"/>
  <c r="W113" i="20"/>
  <c r="D24" i="9" s="1"/>
  <c r="Y107" i="20"/>
  <c r="Y114" i="20"/>
  <c r="AA113" i="27"/>
  <c r="V110" i="29"/>
  <c r="C44" i="9" s="1"/>
  <c r="AA113" i="29"/>
  <c r="W114" i="29"/>
  <c r="D46" i="9" s="1"/>
  <c r="Y112" i="25"/>
  <c r="AA112" i="25"/>
  <c r="AA111" i="20"/>
  <c r="W111" i="20"/>
  <c r="D23" i="9" s="1"/>
  <c r="W113" i="27"/>
  <c r="D12" i="9" s="1"/>
  <c r="Y111" i="27"/>
  <c r="AA114" i="27"/>
  <c r="AA107" i="27"/>
  <c r="W114" i="27"/>
  <c r="D10" i="9" s="1"/>
  <c r="W107" i="27"/>
  <c r="D5" i="9" s="1"/>
  <c r="Z111" i="27"/>
  <c r="W111" i="25"/>
  <c r="D35" i="9" s="1"/>
  <c r="Y111" i="25"/>
  <c r="W109" i="20"/>
  <c r="D19" i="9" s="1"/>
  <c r="Y109" i="20"/>
  <c r="V111" i="27"/>
  <c r="C11" i="9" s="1"/>
  <c r="AA111" i="29"/>
  <c r="AA112" i="29"/>
  <c r="Z111" i="29"/>
  <c r="X113" i="25"/>
  <c r="E36" i="9" s="1"/>
  <c r="W113" i="25"/>
  <c r="D36" i="9" s="1"/>
  <c r="X112" i="27"/>
  <c r="E9" i="9" s="1"/>
  <c r="AA108" i="27"/>
  <c r="Z108" i="27"/>
  <c r="Y112" i="27"/>
  <c r="Z114" i="27"/>
  <c r="Z107" i="27"/>
  <c r="V111" i="29"/>
  <c r="C47" i="9" s="1"/>
  <c r="W110" i="29"/>
  <c r="D44" i="9" s="1"/>
  <c r="Z107" i="20"/>
  <c r="Z114" i="20"/>
  <c r="V109" i="20"/>
  <c r="C19" i="9" s="1"/>
  <c r="X107" i="27"/>
  <c r="E5" i="9" s="1"/>
  <c r="X114" i="27"/>
  <c r="E10" i="9" s="1"/>
  <c r="V108" i="27"/>
  <c r="C6" i="9" s="1"/>
  <c r="X111" i="27"/>
  <c r="E11" i="9" s="1"/>
  <c r="AA109" i="29"/>
  <c r="AA114" i="29"/>
  <c r="X114" i="29"/>
  <c r="E46" i="9" s="1"/>
  <c r="X109" i="29"/>
  <c r="E43" i="9" s="1"/>
  <c r="X109" i="25"/>
  <c r="E31" i="9" s="1"/>
  <c r="V113" i="25"/>
  <c r="C36" i="9" s="1"/>
  <c r="AA113" i="20"/>
  <c r="W110" i="20"/>
  <c r="D20" i="9" s="1"/>
  <c r="Y111" i="20"/>
  <c r="AA111" i="27"/>
  <c r="X110" i="25"/>
  <c r="E32" i="9" s="1"/>
  <c r="V111" i="20"/>
  <c r="C23" i="9" s="1"/>
  <c r="X113" i="20"/>
  <c r="E24" i="9" s="1"/>
  <c r="V110" i="20"/>
  <c r="C20" i="9" s="1"/>
  <c r="AA108" i="20"/>
  <c r="Z110" i="27"/>
  <c r="Y109" i="27"/>
  <c r="W108" i="27"/>
  <c r="D6" i="9" s="1"/>
  <c r="W112" i="29"/>
  <c r="D45" i="9" s="1"/>
  <c r="W110" i="25"/>
  <c r="D32" i="9" s="1"/>
  <c r="Y113" i="25"/>
  <c r="Z111" i="20"/>
  <c r="Z108" i="20"/>
  <c r="V108" i="20"/>
  <c r="C18" i="9" s="1"/>
  <c r="X110" i="20"/>
  <c r="E20" i="9" s="1"/>
  <c r="X108" i="20"/>
  <c r="E18" i="9" s="1"/>
  <c r="V113" i="27"/>
  <c r="C12" i="9" s="1"/>
  <c r="Y113" i="29"/>
  <c r="X112" i="29"/>
  <c r="E45" i="9" s="1"/>
  <c r="X113" i="29"/>
  <c r="E48" i="9" s="1"/>
  <c r="AA110" i="29"/>
  <c r="X108" i="27"/>
  <c r="E6" i="9" s="1"/>
  <c r="W112" i="27"/>
  <c r="D9" i="9" s="1"/>
  <c r="AA112" i="27"/>
  <c r="V109" i="27"/>
  <c r="C7" i="9" s="1"/>
  <c r="V112" i="29"/>
  <c r="C45" i="9" s="1"/>
  <c r="Z114" i="25"/>
  <c r="Z109" i="25"/>
  <c r="AA113" i="25"/>
  <c r="V113" i="20"/>
  <c r="C24" i="9" s="1"/>
  <c r="X109" i="20"/>
  <c r="E19" i="9" s="1"/>
  <c r="Y108" i="27"/>
  <c r="V112" i="27"/>
  <c r="C9" i="9" s="1"/>
  <c r="W107" i="20"/>
  <c r="D17" i="9" s="1"/>
  <c r="W114" i="20"/>
  <c r="D22" i="9" s="1"/>
  <c r="I109" i="27"/>
  <c r="J39" i="25"/>
  <c r="J109" i="25" s="1"/>
  <c r="S39" i="25"/>
  <c r="I115" i="27"/>
  <c r="Q114" i="27"/>
  <c r="T11" i="27"/>
  <c r="Q107" i="27"/>
  <c r="Q109" i="27"/>
  <c r="T20" i="20"/>
  <c r="I108" i="20"/>
  <c r="I114" i="20"/>
  <c r="T4" i="20"/>
  <c r="V109" i="25"/>
  <c r="C31" i="9" s="1"/>
  <c r="V114" i="25"/>
  <c r="C34" i="9" s="1"/>
  <c r="W109" i="25"/>
  <c r="D31" i="9" s="1"/>
  <c r="W114" i="25"/>
  <c r="D34" i="9" s="1"/>
  <c r="X107" i="20"/>
  <c r="E17" i="9" s="1"/>
  <c r="X114" i="20"/>
  <c r="E22" i="9" s="1"/>
  <c r="J70" i="25"/>
  <c r="J124" i="25" s="1"/>
  <c r="S70" i="25"/>
  <c r="S109" i="29"/>
  <c r="F43" i="9" s="1"/>
  <c r="S114" i="29"/>
  <c r="F46" i="9" s="1"/>
  <c r="Q16" i="9" s="1"/>
  <c r="R111" i="29"/>
  <c r="S86" i="27"/>
  <c r="R86" i="27"/>
  <c r="S79" i="25"/>
  <c r="J79" i="25"/>
  <c r="S48" i="27"/>
  <c r="J48" i="27"/>
  <c r="Q111" i="27"/>
  <c r="T64" i="27"/>
  <c r="J99" i="20"/>
  <c r="J126" i="20" s="1"/>
  <c r="S99" i="20"/>
  <c r="S18" i="20"/>
  <c r="R18" i="20"/>
  <c r="I109" i="25"/>
  <c r="T27" i="25"/>
  <c r="I114" i="25"/>
  <c r="I115" i="25"/>
  <c r="Q116" i="25" s="1"/>
  <c r="J59" i="27"/>
  <c r="S59" i="27"/>
  <c r="S56" i="20"/>
  <c r="J56" i="20"/>
  <c r="J107" i="27"/>
  <c r="R107" i="20"/>
  <c r="R37" i="27"/>
  <c r="S37" i="27"/>
  <c r="S68" i="27"/>
  <c r="R68" i="27"/>
  <c r="R111" i="27" s="1"/>
  <c r="S80" i="27"/>
  <c r="R80" i="27"/>
  <c r="R135" i="27" s="1"/>
  <c r="R24" i="20"/>
  <c r="S24" i="20"/>
  <c r="S62" i="25"/>
  <c r="R111" i="20"/>
  <c r="T92" i="20"/>
  <c r="I113" i="20"/>
  <c r="S23" i="20"/>
  <c r="R23" i="20"/>
  <c r="J6" i="20"/>
  <c r="J120" i="20" s="1"/>
  <c r="S6" i="20"/>
  <c r="I111" i="25"/>
  <c r="I110" i="25"/>
  <c r="T54" i="25"/>
  <c r="S56" i="25"/>
  <c r="J56" i="25"/>
  <c r="R35" i="27"/>
  <c r="S35" i="27"/>
  <c r="S64" i="20"/>
  <c r="J64" i="20"/>
  <c r="J111" i="20" s="1"/>
  <c r="T83" i="25"/>
  <c r="I112" i="25"/>
  <c r="J31" i="20"/>
  <c r="J109" i="20" s="1"/>
  <c r="S31" i="20"/>
  <c r="S54" i="25"/>
  <c r="J54" i="25"/>
  <c r="R21" i="27"/>
  <c r="R108" i="27" s="1"/>
  <c r="S21" i="27"/>
  <c r="S56" i="27"/>
  <c r="R56" i="27"/>
  <c r="R110" i="27" s="1"/>
  <c r="T114" i="29"/>
  <c r="G46" i="9" s="1"/>
  <c r="Q115" i="27"/>
  <c r="S20" i="27"/>
  <c r="J20" i="27"/>
  <c r="J108" i="27" s="1"/>
  <c r="S100" i="27"/>
  <c r="J100" i="27"/>
  <c r="J113" i="27" s="1"/>
  <c r="J103" i="25"/>
  <c r="S103" i="25"/>
  <c r="R110" i="20"/>
  <c r="R4" i="27"/>
  <c r="R120" i="27" s="1"/>
  <c r="S4" i="27"/>
  <c r="V114" i="27"/>
  <c r="C10" i="9" s="1"/>
  <c r="V107" i="27"/>
  <c r="C5" i="9" s="1"/>
  <c r="I114" i="27"/>
  <c r="R29" i="27"/>
  <c r="R132" i="27" s="1"/>
  <c r="S29" i="27"/>
  <c r="R111" i="25"/>
  <c r="S99" i="29"/>
  <c r="S92" i="29"/>
  <c r="S13" i="27"/>
  <c r="S22" i="27"/>
  <c r="AA114" i="25"/>
  <c r="AA107" i="20"/>
  <c r="Q112" i="27"/>
  <c r="W109" i="29"/>
  <c r="D43" i="9" s="1"/>
  <c r="S36" i="29"/>
  <c r="S49" i="27"/>
  <c r="T91" i="27"/>
  <c r="T113" i="27" s="1"/>
  <c r="G12" i="9" s="1"/>
  <c r="S98" i="20"/>
  <c r="S71" i="27"/>
  <c r="S69" i="27"/>
  <c r="AC4" i="10"/>
  <c r="S55" i="25"/>
  <c r="S55" i="29"/>
  <c r="S36" i="27"/>
  <c r="Q107" i="20"/>
  <c r="S90" i="25"/>
  <c r="X114" i="25"/>
  <c r="E34" i="9" s="1"/>
  <c r="S30" i="20"/>
  <c r="S101" i="27"/>
  <c r="AJ3" i="10"/>
  <c r="AK3" i="10"/>
  <c r="AD3" i="10"/>
  <c r="AG3" i="10"/>
  <c r="AE3" i="10"/>
  <c r="AF3" i="10"/>
  <c r="AL3" i="10"/>
  <c r="S112" i="29" l="1"/>
  <c r="F45" i="9" s="1"/>
  <c r="S112" i="25"/>
  <c r="F33" i="9" s="1"/>
  <c r="J132" i="27"/>
  <c r="J122" i="27"/>
  <c r="J110" i="25"/>
  <c r="J126" i="25"/>
  <c r="S132" i="27"/>
  <c r="J122" i="29"/>
  <c r="S125" i="29"/>
  <c r="J111" i="29"/>
  <c r="S113" i="27"/>
  <c r="F12" i="9" s="1"/>
  <c r="S135" i="27"/>
  <c r="S112" i="27"/>
  <c r="F9" i="9" s="1"/>
  <c r="T110" i="27"/>
  <c r="G8" i="9" s="1"/>
  <c r="S136" i="25"/>
  <c r="S135" i="29"/>
  <c r="J110" i="29"/>
  <c r="S133" i="20"/>
  <c r="J111" i="25"/>
  <c r="J133" i="27"/>
  <c r="J136" i="20"/>
  <c r="S136" i="20"/>
  <c r="J124" i="27"/>
  <c r="S109" i="27"/>
  <c r="F7" i="9" s="1"/>
  <c r="J122" i="25"/>
  <c r="J109" i="29"/>
  <c r="S110" i="27"/>
  <c r="F8" i="9" s="1"/>
  <c r="T109" i="27"/>
  <c r="G7" i="9" s="1"/>
  <c r="T108" i="27"/>
  <c r="G6" i="9" s="1"/>
  <c r="S108" i="27"/>
  <c r="F6" i="9" s="1"/>
  <c r="S123" i="20"/>
  <c r="S122" i="20"/>
  <c r="S120" i="27"/>
  <c r="S123" i="29"/>
  <c r="Q137" i="29"/>
  <c r="T137" i="29" s="1"/>
  <c r="T132" i="29"/>
  <c r="S122" i="29"/>
  <c r="I127" i="29"/>
  <c r="R121" i="27"/>
  <c r="S121" i="27" s="1"/>
  <c r="T122" i="29"/>
  <c r="Q127" i="29"/>
  <c r="T127" i="29" s="1"/>
  <c r="R108" i="20"/>
  <c r="Q137" i="27"/>
  <c r="T137" i="27" s="1"/>
  <c r="T130" i="27"/>
  <c r="R131" i="27"/>
  <c r="S131" i="27" s="1"/>
  <c r="R122" i="27"/>
  <c r="S122" i="27" s="1"/>
  <c r="J132" i="20"/>
  <c r="J130" i="20"/>
  <c r="S111" i="20"/>
  <c r="F23" i="9" s="1"/>
  <c r="R112" i="29"/>
  <c r="R125" i="27"/>
  <c r="S125" i="27" s="1"/>
  <c r="Q127" i="27"/>
  <c r="T127" i="27" s="1"/>
  <c r="T120" i="27"/>
  <c r="Q127" i="20"/>
  <c r="T127" i="20" s="1"/>
  <c r="T122" i="20"/>
  <c r="J133" i="29"/>
  <c r="J131" i="20"/>
  <c r="J122" i="20"/>
  <c r="R109" i="20"/>
  <c r="T111" i="27"/>
  <c r="G11" i="9" s="1"/>
  <c r="J132" i="29"/>
  <c r="J137" i="29" s="1"/>
  <c r="Q5" i="9" s="1"/>
  <c r="I127" i="25"/>
  <c r="J123" i="29"/>
  <c r="R132" i="20"/>
  <c r="S132" i="20" s="1"/>
  <c r="J121" i="20"/>
  <c r="S125" i="25"/>
  <c r="T122" i="25"/>
  <c r="Q127" i="25"/>
  <c r="T127" i="25" s="1"/>
  <c r="S111" i="27"/>
  <c r="F11" i="9" s="1"/>
  <c r="J126" i="27"/>
  <c r="J123" i="25"/>
  <c r="R121" i="20"/>
  <c r="S121" i="20" s="1"/>
  <c r="Q137" i="20"/>
  <c r="T137" i="20" s="1"/>
  <c r="T130" i="20"/>
  <c r="S135" i="25"/>
  <c r="J113" i="29"/>
  <c r="J136" i="25"/>
  <c r="J136" i="27"/>
  <c r="J133" i="25"/>
  <c r="R131" i="20"/>
  <c r="S131" i="20" s="1"/>
  <c r="J121" i="27"/>
  <c r="J136" i="29"/>
  <c r="S120" i="20"/>
  <c r="R133" i="27"/>
  <c r="S133" i="27" s="1"/>
  <c r="J132" i="25"/>
  <c r="J131" i="27"/>
  <c r="S130" i="20"/>
  <c r="R123" i="27"/>
  <c r="S123" i="27" s="1"/>
  <c r="J123" i="20"/>
  <c r="J133" i="20"/>
  <c r="R115" i="25"/>
  <c r="R134" i="27"/>
  <c r="R124" i="27"/>
  <c r="R137" i="25"/>
  <c r="S132" i="25"/>
  <c r="J134" i="25"/>
  <c r="R130" i="27"/>
  <c r="J114" i="29"/>
  <c r="S126" i="25"/>
  <c r="J123" i="27"/>
  <c r="R123" i="25"/>
  <c r="S123" i="25" s="1"/>
  <c r="R127" i="25"/>
  <c r="S122" i="25"/>
  <c r="J134" i="29"/>
  <c r="J112" i="25"/>
  <c r="J125" i="25"/>
  <c r="J135" i="25"/>
  <c r="R132" i="29"/>
  <c r="S136" i="27"/>
  <c r="R133" i="25"/>
  <c r="S133" i="25" s="1"/>
  <c r="S126" i="29"/>
  <c r="R122" i="29"/>
  <c r="R127" i="29" s="1"/>
  <c r="S126" i="27"/>
  <c r="S126" i="20"/>
  <c r="Q137" i="25"/>
  <c r="T137" i="25" s="1"/>
  <c r="T132" i="25"/>
  <c r="I137" i="25"/>
  <c r="I137" i="29"/>
  <c r="S136" i="29"/>
  <c r="Q116" i="20"/>
  <c r="T111" i="20"/>
  <c r="G23" i="9" s="1"/>
  <c r="I137" i="20"/>
  <c r="S134" i="20"/>
  <c r="I127" i="20"/>
  <c r="S124" i="20"/>
  <c r="J124" i="20"/>
  <c r="J134" i="20"/>
  <c r="J111" i="27"/>
  <c r="S124" i="27"/>
  <c r="I127" i="27"/>
  <c r="J134" i="27"/>
  <c r="S134" i="27"/>
  <c r="I137" i="27"/>
  <c r="R109" i="27"/>
  <c r="J115" i="20"/>
  <c r="J115" i="29"/>
  <c r="S114" i="27"/>
  <c r="F10" i="9" s="1"/>
  <c r="N16" i="9" s="1"/>
  <c r="S107" i="27"/>
  <c r="F5" i="9" s="1"/>
  <c r="J110" i="27"/>
  <c r="R114" i="25"/>
  <c r="R115" i="29"/>
  <c r="R114" i="29"/>
  <c r="R110" i="25"/>
  <c r="R114" i="20"/>
  <c r="J113" i="20"/>
  <c r="R115" i="20"/>
  <c r="J110" i="20"/>
  <c r="J114" i="25"/>
  <c r="J113" i="25"/>
  <c r="T107" i="27"/>
  <c r="G5" i="9" s="1"/>
  <c r="T114" i="27"/>
  <c r="G10" i="9" s="1"/>
  <c r="J115" i="25"/>
  <c r="R116" i="25" s="1"/>
  <c r="J114" i="20"/>
  <c r="J107" i="20"/>
  <c r="J115" i="27"/>
  <c r="Q116" i="27"/>
  <c r="AC5" i="10"/>
  <c r="R112" i="27"/>
  <c r="T114" i="25"/>
  <c r="G34" i="9" s="1"/>
  <c r="T109" i="25"/>
  <c r="G31" i="9" s="1"/>
  <c r="J114" i="27"/>
  <c r="R107" i="27"/>
  <c r="R114" i="27"/>
  <c r="R115" i="27"/>
  <c r="AI4" i="10"/>
  <c r="AG4" i="10"/>
  <c r="AK4" i="10"/>
  <c r="AE4" i="10"/>
  <c r="AJ4" i="10"/>
  <c r="AD4" i="10"/>
  <c r="AF4" i="10"/>
  <c r="AL4" i="10"/>
  <c r="J127" i="29" l="1"/>
  <c r="Q4" i="9" s="1"/>
  <c r="R116" i="29"/>
  <c r="J127" i="25"/>
  <c r="P4" i="9" s="1"/>
  <c r="J137" i="20"/>
  <c r="O5" i="9" s="1"/>
  <c r="J127" i="27"/>
  <c r="N4" i="9" s="1"/>
  <c r="J127" i="20"/>
  <c r="O4" i="9" s="1"/>
  <c r="Q10" i="9"/>
  <c r="S127" i="29"/>
  <c r="R137" i="27"/>
  <c r="N11" i="9" s="1"/>
  <c r="S130" i="27"/>
  <c r="J137" i="25"/>
  <c r="P5" i="9" s="1"/>
  <c r="S127" i="27"/>
  <c r="S137" i="25"/>
  <c r="P11" i="9"/>
  <c r="J137" i="27"/>
  <c r="N5" i="9" s="1"/>
  <c r="R137" i="29"/>
  <c r="S132" i="29"/>
  <c r="S127" i="25"/>
  <c r="P10" i="9"/>
  <c r="R127" i="27"/>
  <c r="N10" i="9" s="1"/>
  <c r="R116" i="20"/>
  <c r="R127" i="20"/>
  <c r="O10" i="9" s="1"/>
  <c r="R10" i="9" s="1"/>
  <c r="S10" i="9" s="1"/>
  <c r="S137" i="27"/>
  <c r="R137" i="20"/>
  <c r="O11" i="9" s="1"/>
  <c r="R116" i="27"/>
  <c r="AC6" i="10"/>
  <c r="AL6" i="10"/>
  <c r="AI5" i="10"/>
  <c r="AG6" i="10"/>
  <c r="AJ6" i="10"/>
  <c r="AE5" i="10"/>
  <c r="AE6" i="10"/>
  <c r="AJ5" i="10"/>
  <c r="AD5" i="10"/>
  <c r="AG5" i="10"/>
  <c r="AL5" i="10"/>
  <c r="AF5" i="10"/>
  <c r="AK6" i="10"/>
  <c r="AI6" i="10"/>
  <c r="AK5" i="10"/>
  <c r="Q17" i="9" l="1"/>
  <c r="P17" i="9"/>
  <c r="R5" i="9"/>
  <c r="S5" i="9" s="1"/>
  <c r="P18" i="9"/>
  <c r="N17" i="9"/>
  <c r="R4" i="9"/>
  <c r="S4" i="9" s="1"/>
  <c r="N18" i="9"/>
  <c r="O18" i="9"/>
  <c r="S137" i="29"/>
  <c r="Q11" i="9"/>
  <c r="Q18" i="9" s="1"/>
  <c r="S137" i="20"/>
  <c r="S127" i="20"/>
  <c r="O17" i="9"/>
  <c r="AG13" i="10"/>
  <c r="AG16" i="10" s="1"/>
  <c r="AG12" i="10"/>
  <c r="AG15" i="10" s="1"/>
  <c r="AE13" i="10"/>
  <c r="AE16" i="10" s="1"/>
  <c r="AE12" i="10"/>
  <c r="AE15" i="10" s="1"/>
  <c r="AF6" i="10"/>
  <c r="AD6" i="10"/>
  <c r="R17" i="9" l="1"/>
  <c r="AD13" i="10"/>
  <c r="AD16" i="10" s="1"/>
  <c r="AD12" i="10"/>
  <c r="AD15" i="10" s="1"/>
  <c r="AF13" i="10"/>
  <c r="AF16" i="10" s="1"/>
  <c r="AF12" i="10"/>
  <c r="AF15" i="10" s="1"/>
  <c r="R11" i="9"/>
  <c r="S11" i="9" l="1"/>
  <c r="R18" i="9"/>
</calcChain>
</file>

<file path=xl/sharedStrings.xml><?xml version="1.0" encoding="utf-8"?>
<sst xmlns="http://schemas.openxmlformats.org/spreadsheetml/2006/main" count="1343" uniqueCount="541">
  <si>
    <t>QPISlice</t>
  </si>
  <si>
    <t>Class B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</si>
  <si>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</si>
  <si>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</si>
  <si>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</si>
  <si>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</si>
  <si>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</si>
  <si>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</si>
  <si>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</si>
  <si>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</si>
  <si>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</si>
  <si>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</si>
  <si>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</si>
  <si>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</si>
  <si>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</si>
  <si>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</si>
  <si>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</si>
  <si>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</si>
  <si>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</si>
  <si>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</si>
  <si>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</si>
  <si>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</si>
  <si>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</si>
  <si>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</si>
  <si>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</si>
  <si>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</si>
  <si>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</si>
  <si>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</si>
  <si>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</si>
  <si>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</si>
  <si>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</si>
  <si>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</si>
  <si>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</si>
  <si>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</si>
  <si>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</si>
  <si>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</si>
  <si>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BQMall</t>
  </si>
  <si>
    <t>Enc</t>
  </si>
  <si>
    <t>Dec</t>
  </si>
  <si>
    <t>EncT</t>
  </si>
  <si>
    <t>DecT</t>
  </si>
  <si>
    <t>PartySceneC</t>
  </si>
  <si>
    <t>RaceHorsesC</t>
  </si>
  <si>
    <t>Class F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</si>
  <si>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</si>
  <si>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</si>
  <si>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</si>
  <si>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</si>
  <si>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</si>
  <si>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</si>
  <si>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</si>
  <si>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</si>
  <si>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</si>
  <si>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</si>
  <si>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</si>
  <si>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</si>
  <si>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</si>
  <si>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</si>
  <si>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</si>
  <si>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</si>
  <si>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</si>
  <si>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SlideEditing</t>
  </si>
  <si>
    <t>SlideShow</t>
  </si>
  <si>
    <t>EncR</t>
  </si>
  <si>
    <t>DecR</t>
  </si>
  <si>
    <t xml:space="preserve">All Intra Main10 </t>
  </si>
  <si>
    <t xml:space="preserve">Overall </t>
  </si>
  <si>
    <t xml:space="preserve">Low delay B Main10 </t>
  </si>
  <si>
    <t xml:space="preserve">Low delay P Main10 </t>
  </si>
  <si>
    <t>Class A1</t>
  </si>
  <si>
    <t>Class A2</t>
  </si>
  <si>
    <t>AI-10</t>
  </si>
  <si>
    <t>RA-10</t>
  </si>
  <si>
    <t>LDB-10</t>
  </si>
  <si>
    <t>LDP-10</t>
  </si>
  <si>
    <t>Tango2.Q22.jvet10.ai</t>
  </si>
  <si>
    <t>Tango2.Q27.jvet10.ai</t>
  </si>
  <si>
    <t>Tango2.Q32.jvet10.ai</t>
  </si>
  <si>
    <t>Tango2.Q37.jvet10.ai</t>
  </si>
  <si>
    <t>DaylightRoad2.Q22.jvet10.ai</t>
  </si>
  <si>
    <t>DaylightRoad2.Q27.jvet10.ai</t>
  </si>
  <si>
    <t>DaylightRoad2.Q32.jvet10.ai</t>
  </si>
  <si>
    <t>DaylightRoad2.Q37.jvet10.ai</t>
  </si>
  <si>
    <t>Cactus.Q22.jvet10.ai</t>
  </si>
  <si>
    <t>Cactus.Q27.jvet10.ai</t>
  </si>
  <si>
    <t>Cactus.Q32.jvet10.ai</t>
  </si>
  <si>
    <t>Cactus.Q37.jvet10.ai</t>
  </si>
  <si>
    <t>BasketballDrive.Q22.jvet10.ai</t>
  </si>
  <si>
    <t>BasketballDrive.Q27.jvet10.ai</t>
  </si>
  <si>
    <t>BasketballDrive.Q32.jvet10.ai</t>
  </si>
  <si>
    <t>BasketballDrive.Q37.jvet10.ai</t>
  </si>
  <si>
    <t>BQTerrace.Q22.jvet10.ai</t>
  </si>
  <si>
    <t>BQTerrace.Q27.jvet10.ai</t>
  </si>
  <si>
    <t>BQTerrace.Q32.jvet10.ai</t>
  </si>
  <si>
    <t>BQTerrace.Q37.jvet10.ai</t>
  </si>
  <si>
    <t>BasketballDrill.Q22.jvet10.ai</t>
  </si>
  <si>
    <t>BasketballDrill.Q27.jvet10.ai</t>
  </si>
  <si>
    <t>BasketballDrill.Q32.jvet10.ai</t>
  </si>
  <si>
    <t>BasketballDrill.Q37.jvet10.ai</t>
  </si>
  <si>
    <t>BQMall.Q22.jvet10.ai</t>
  </si>
  <si>
    <t>BQMall.Q27.jvet10.ai</t>
  </si>
  <si>
    <t>BQMall.Q32.jvet10.ai</t>
  </si>
  <si>
    <t>BQMall.Q37.jvet10.ai</t>
  </si>
  <si>
    <t>PartyScene.Q22.jvet10.ai</t>
  </si>
  <si>
    <t>PartyScene.Q27.jvet10.ai</t>
  </si>
  <si>
    <t>PartyScene.Q32.jvet10.ai</t>
  </si>
  <si>
    <t>PartyScene.Q37.jvet10.ai</t>
  </si>
  <si>
    <t>RaceHorsesC.Q22.jvet10.ai</t>
  </si>
  <si>
    <t>RaceHorsesC.Q27.jvet10.ai</t>
  </si>
  <si>
    <t>RaceHorsesC.Q32.jvet10.ai</t>
  </si>
  <si>
    <t>RaceHorsesC.Q37.jvet10.ai</t>
  </si>
  <si>
    <t>BasketballPass.Q22.jvet10.ai</t>
  </si>
  <si>
    <t>BasketballPass.Q27.jvet10.ai</t>
  </si>
  <si>
    <t>BasketballPass.Q32.jvet10.ai</t>
  </si>
  <si>
    <t>BasketballPass.Q37.jvet10.ai</t>
  </si>
  <si>
    <t>BQSquare.Q22.jvet10.ai</t>
  </si>
  <si>
    <t>BQSquare.Q27.jvet10.ai</t>
  </si>
  <si>
    <t>BQSquare.Q32.jvet10.ai</t>
  </si>
  <si>
    <t>BQSquare.Q37.jvet10.ai</t>
  </si>
  <si>
    <t>BlowingBubbles.Q22.jvet10.ai</t>
  </si>
  <si>
    <t>BlowingBubbles.Q27.jvet10.ai</t>
  </si>
  <si>
    <t>BlowingBubbles.Q32.jvet10.ai</t>
  </si>
  <si>
    <t>BlowingBubbles.Q37.jvet10.ai</t>
  </si>
  <si>
    <t>RaceHorses.Q22.jvet10.ai</t>
  </si>
  <si>
    <t>RaceHorses.Q27.jvet10.ai</t>
  </si>
  <si>
    <t>RaceHorses.Q32.jvet10.ai</t>
  </si>
  <si>
    <t>RaceHorses.Q37.jvet10.ai</t>
  </si>
  <si>
    <t>FourPeople.Q22.jvet10.ai</t>
  </si>
  <si>
    <t>FourPeople.Q27.jvet10.ai</t>
  </si>
  <si>
    <t>FourPeople.Q32.jvet10.ai</t>
  </si>
  <si>
    <t>FourPeople.Q37.jvet10.ai</t>
  </si>
  <si>
    <t>Johnny.Q22.jvet10.ai</t>
  </si>
  <si>
    <t>Johnny.Q27.jvet10.ai</t>
  </si>
  <si>
    <t>Johnny.Q32.jvet10.ai</t>
  </si>
  <si>
    <t>Johnny.Q37.jvet10.ai</t>
  </si>
  <si>
    <t>KristenAndSara.Q22.jvet10.ai</t>
  </si>
  <si>
    <t>KristenAndSara.Q27.jvet10.ai</t>
  </si>
  <si>
    <t>KristenAndSara.Q32.jvet10.ai</t>
  </si>
  <si>
    <t>KristenAndSara.Q37.jvet10.ai</t>
  </si>
  <si>
    <t>BasketballDrillText.Q22.jvet10.ai</t>
  </si>
  <si>
    <t>BasketballDrillText.Q27.jvet10.ai</t>
  </si>
  <si>
    <t>BasketballDrillText.Q32.jvet10.ai</t>
  </si>
  <si>
    <t>BasketballDrillText.Q37.jvet10.ai</t>
  </si>
  <si>
    <t>SlideEditing.Q22.jvet10.ai</t>
  </si>
  <si>
    <t>SlideEditing.Q27.jvet10.ai</t>
  </si>
  <si>
    <t>SlideEditing.Q32.jvet10.ai</t>
  </si>
  <si>
    <t>SlideEditing.Q37.jvet10.ai</t>
  </si>
  <si>
    <t>SlideShow.Q22.jvet10.ai</t>
  </si>
  <si>
    <t>SlideShow.Q27.jvet10.ai</t>
  </si>
  <si>
    <t>SlideShow.Q32.jvet10.ai</t>
  </si>
  <si>
    <t>SlideShow.Q37.jvet10.ai</t>
  </si>
  <si>
    <t>Tango2.Q22.jvet10.ra</t>
  </si>
  <si>
    <t>Tango2.Q27.jvet10.ra</t>
  </si>
  <si>
    <t>Tango2.Q32.jvet10.ra</t>
  </si>
  <si>
    <t>Tango2.Q37.jvet10.ra</t>
  </si>
  <si>
    <t>DaylightRoad2.Q22.jvet10.ra</t>
  </si>
  <si>
    <t>DaylightRoad2.Q27.jvet10.ra</t>
  </si>
  <si>
    <t>DaylightRoad2.Q32.jvet10.ra</t>
  </si>
  <si>
    <t>DaylightRoad2.Q37.jvet10.ra</t>
  </si>
  <si>
    <t>Cactus.Q22.jvet10.ra</t>
  </si>
  <si>
    <t>Cactus.Q27.jvet10.ra</t>
  </si>
  <si>
    <t>Cactus.Q32.jvet10.ra</t>
  </si>
  <si>
    <t>Cactus.Q37.jvet10.ra</t>
  </si>
  <si>
    <t>BasketballDrive.Q22.jvet10.ra</t>
  </si>
  <si>
    <t>BasketballDrive.Q27.jvet10.ra</t>
  </si>
  <si>
    <t>BasketballDrive.Q32.jvet10.ra</t>
  </si>
  <si>
    <t>BasketballDrive.Q37.jvet10.ra</t>
  </si>
  <si>
    <t>BQTerrace.Q22.jvet10.ra</t>
  </si>
  <si>
    <t>BQTerrace.Q27.jvet10.ra</t>
  </si>
  <si>
    <t>BQTerrace.Q32.jvet10.ra</t>
  </si>
  <si>
    <t>BQTerrace.Q37.jvet10.ra</t>
  </si>
  <si>
    <t>BasketballDrill.Q22.jvet10.ra</t>
  </si>
  <si>
    <t>BasketballDrill.Q27.jvet10.ra</t>
  </si>
  <si>
    <t>BasketballDrill.Q32.jvet10.ra</t>
  </si>
  <si>
    <t>BasketballDrill.Q37.jvet10.ra</t>
  </si>
  <si>
    <t>BQMall.Q22.jvet10.ra</t>
  </si>
  <si>
    <t>BQMall.Q27.jvet10.ra</t>
  </si>
  <si>
    <t>BQMall.Q32.jvet10.ra</t>
  </si>
  <si>
    <t>BQMall.Q37.jvet10.ra</t>
  </si>
  <si>
    <t>PartyScene.Q22.jvet10.ra</t>
  </si>
  <si>
    <t>PartyScene.Q27.jvet10.ra</t>
  </si>
  <si>
    <t>PartyScene.Q32.jvet10.ra</t>
  </si>
  <si>
    <t>PartyScene.Q37.jvet10.ra</t>
  </si>
  <si>
    <t>RaceHorsesC.Q22.jvet10.ra</t>
  </si>
  <si>
    <t>RaceHorsesC.Q27.jvet10.ra</t>
  </si>
  <si>
    <t>RaceHorsesC.Q32.jvet10.ra</t>
  </si>
  <si>
    <t>RaceHorsesC.Q37.jvet10.ra</t>
  </si>
  <si>
    <t>BasketballPass.Q22.jvet10.ra</t>
  </si>
  <si>
    <t>BasketballPass.Q27.jvet10.ra</t>
  </si>
  <si>
    <t>BasketballPass.Q32.jvet10.ra</t>
  </si>
  <si>
    <t>BasketballPass.Q37.jvet10.ra</t>
  </si>
  <si>
    <t>BQSquare.Q22.jvet10.ra</t>
  </si>
  <si>
    <t>BQSquare.Q27.jvet10.ra</t>
  </si>
  <si>
    <t>BQSquare.Q32.jvet10.ra</t>
  </si>
  <si>
    <t>BQSquare.Q37.jvet10.ra</t>
  </si>
  <si>
    <t>BlowingBubbles.Q22.jvet10.ra</t>
  </si>
  <si>
    <t>BlowingBubbles.Q27.jvet10.ra</t>
  </si>
  <si>
    <t>BlowingBubbles.Q32.jvet10.ra</t>
  </si>
  <si>
    <t>BlowingBubbles.Q37.jvet10.ra</t>
  </si>
  <si>
    <t>RaceHorses.Q22.jvet10.ra</t>
  </si>
  <si>
    <t>RaceHorses.Q27.jvet10.ra</t>
  </si>
  <si>
    <t>RaceHorses.Q32.jvet10.ra</t>
  </si>
  <si>
    <t>RaceHorses.Q37.jvet10.ra</t>
  </si>
  <si>
    <t>FourPeople.Q22.jvet10.ra</t>
  </si>
  <si>
    <t>FourPeople.Q27.jvet10.ra</t>
  </si>
  <si>
    <t>FourPeople.Q32.jvet10.ra</t>
  </si>
  <si>
    <t>FourPeople.Q37.jvet10.ra</t>
  </si>
  <si>
    <t>Johnny.Q22.jvet10.ra</t>
  </si>
  <si>
    <t>Johnny.Q27.jvet10.ra</t>
  </si>
  <si>
    <t>Johnny.Q32.jvet10.ra</t>
  </si>
  <si>
    <t>Johnny.Q37.jvet10.ra</t>
  </si>
  <si>
    <t>KristenAndSara.Q22.jvet10.ra</t>
  </si>
  <si>
    <t>KristenAndSara.Q27.jvet10.ra</t>
  </si>
  <si>
    <t>KristenAndSara.Q32.jvet10.ra</t>
  </si>
  <si>
    <t>KristenAndSara.Q37.jvet10.ra</t>
  </si>
  <si>
    <t>BasketballDrillText.Q22.jvet10.ra</t>
  </si>
  <si>
    <t>BasketballDrillText.Q27.jvet10.ra</t>
  </si>
  <si>
    <t>BasketballDrillText.Q32.jvet10.ra</t>
  </si>
  <si>
    <t>BasketballDrillText.Q37.jvet10.ra</t>
  </si>
  <si>
    <t>SlideEditing.Q22.jvet10.ra</t>
  </si>
  <si>
    <t>SlideEditing.Q27.jvet10.ra</t>
  </si>
  <si>
    <t>SlideEditing.Q32.jvet10.ra</t>
  </si>
  <si>
    <t>SlideEditing.Q37.jvet10.ra</t>
  </si>
  <si>
    <t>SlideShow.Q22.jvet10.ra</t>
  </si>
  <si>
    <t>SlideShow.Q27.jvet10.ra</t>
  </si>
  <si>
    <t>SlideShow.Q32.jvet10.ra</t>
  </si>
  <si>
    <t>SlideShow.Q37.jvet10.ra</t>
  </si>
  <si>
    <t>Tango2.Q22.jvet10.lb</t>
  </si>
  <si>
    <t>Tango2.Q27.jvet10.lb</t>
  </si>
  <si>
    <t>Tango2.Q32.jvet10.lb</t>
  </si>
  <si>
    <t>Tango2.Q37.jvet10.lb</t>
  </si>
  <si>
    <t>DaylightRoad2.Q22.jvet10.lb</t>
  </si>
  <si>
    <t>DaylightRoad2.Q27.jvet10.lb</t>
  </si>
  <si>
    <t>DaylightRoad2.Q32.jvet10.lb</t>
  </si>
  <si>
    <t>DaylightRoad2.Q37.jvet10.lb</t>
  </si>
  <si>
    <t>Cactus.Q22.jvet10.lb</t>
  </si>
  <si>
    <t>Cactus.Q27.jvet10.lb</t>
  </si>
  <si>
    <t>Cactus.Q32.jvet10.lb</t>
  </si>
  <si>
    <t>Cactus.Q37.jvet10.lb</t>
  </si>
  <si>
    <t>BasketballDrive.Q22.jvet10.lb</t>
  </si>
  <si>
    <t>BasketballDrive.Q27.jvet10.lb</t>
  </si>
  <si>
    <t>BasketballDrive.Q32.jvet10.lb</t>
  </si>
  <si>
    <t>BasketballDrive.Q37.jvet10.lb</t>
  </si>
  <si>
    <t>BQTerrace.Q22.jvet10.lb</t>
  </si>
  <si>
    <t>BQTerrace.Q27.jvet10.lb</t>
  </si>
  <si>
    <t>BQTerrace.Q32.jvet10.lb</t>
  </si>
  <si>
    <t>BQTerrace.Q37.jvet10.lb</t>
  </si>
  <si>
    <t>BasketballDrill.Q22.jvet10.lb</t>
  </si>
  <si>
    <t>BasketballDrill.Q27.jvet10.lb</t>
  </si>
  <si>
    <t>BasketballDrill.Q32.jvet10.lb</t>
  </si>
  <si>
    <t>BasketballDrill.Q37.jvet10.lb</t>
  </si>
  <si>
    <t>BQMall.Q22.jvet10.lb</t>
  </si>
  <si>
    <t>BQMall.Q27.jvet10.lb</t>
  </si>
  <si>
    <t>BQMall.Q32.jvet10.lb</t>
  </si>
  <si>
    <t>BQMall.Q37.jvet10.lb</t>
  </si>
  <si>
    <t>PartyScene.Q22.jvet10.lb</t>
  </si>
  <si>
    <t>PartyScene.Q27.jvet10.lb</t>
  </si>
  <si>
    <t>PartyScene.Q32.jvet10.lb</t>
  </si>
  <si>
    <t>PartyScene.Q37.jvet10.lb</t>
  </si>
  <si>
    <t>RaceHorsesC.Q22.jvet10.lb</t>
  </si>
  <si>
    <t>RaceHorsesC.Q27.jvet10.lb</t>
  </si>
  <si>
    <t>RaceHorsesC.Q32.jvet10.lb</t>
  </si>
  <si>
    <t>RaceHorsesC.Q37.jvet10.lb</t>
  </si>
  <si>
    <t>BasketballPass.Q22.jvet10.lb</t>
  </si>
  <si>
    <t>BasketballPass.Q27.jvet10.lb</t>
  </si>
  <si>
    <t>BasketballPass.Q32.jvet10.lb</t>
  </si>
  <si>
    <t>BasketballPass.Q37.jvet10.lb</t>
  </si>
  <si>
    <t>BQSquare.Q22.jvet10.lb</t>
  </si>
  <si>
    <t>BQSquare.Q27.jvet10.lb</t>
  </si>
  <si>
    <t>BQSquare.Q32.jvet10.lb</t>
  </si>
  <si>
    <t>BQSquare.Q37.jvet10.lb</t>
  </si>
  <si>
    <t>BlowingBubbles.Q22.jvet10.lb</t>
  </si>
  <si>
    <t>BlowingBubbles.Q27.jvet10.lb</t>
  </si>
  <si>
    <t>BlowingBubbles.Q32.jvet10.lb</t>
  </si>
  <si>
    <t>BlowingBubbles.Q37.jvet10.lb</t>
  </si>
  <si>
    <t>RaceHorses.Q22.jvet10.lb</t>
  </si>
  <si>
    <t>RaceHorses.Q27.jvet10.lb</t>
  </si>
  <si>
    <t>RaceHorses.Q32.jvet10.lb</t>
  </si>
  <si>
    <t>RaceHorses.Q37.jvet10.lb</t>
  </si>
  <si>
    <t>FourPeople.Q22.jvet10.lb</t>
  </si>
  <si>
    <t>FourPeople.Q27.jvet10.lb</t>
  </si>
  <si>
    <t>FourPeople.Q32.jvet10.lb</t>
  </si>
  <si>
    <t>FourPeople.Q37.jvet10.lb</t>
  </si>
  <si>
    <t>Johnny.Q22.jvet10.lb</t>
  </si>
  <si>
    <t>Johnny.Q27.jvet10.lb</t>
  </si>
  <si>
    <t>Johnny.Q32.jvet10.lb</t>
  </si>
  <si>
    <t>Johnny.Q37.jvet10.lb</t>
  </si>
  <si>
    <t>KristenAndSara.Q22.jvet10.lb</t>
  </si>
  <si>
    <t>KristenAndSara.Q27.jvet10.lb</t>
  </si>
  <si>
    <t>KristenAndSara.Q32.jvet10.lb</t>
  </si>
  <si>
    <t>KristenAndSara.Q37.jvet10.lb</t>
  </si>
  <si>
    <t>BasketballDrillText.Q22.jvet10.lb</t>
  </si>
  <si>
    <t>BasketballDrillText.Q27.jvet10.lb</t>
  </si>
  <si>
    <t>BasketballDrillText.Q32.jvet10.lb</t>
  </si>
  <si>
    <t>BasketballDrillText.Q37.jvet10.lb</t>
  </si>
  <si>
    <t>SlideEditing.Q22.jvet10.lb</t>
  </si>
  <si>
    <t>SlideEditing.Q27.jvet10.lb</t>
  </si>
  <si>
    <t>SlideEditing.Q32.jvet10.lb</t>
  </si>
  <si>
    <t>SlideEditing.Q37.jvet10.lb</t>
  </si>
  <si>
    <t>SlideShow.Q22.jvet10.lb</t>
  </si>
  <si>
    <t>SlideShow.Q27.jvet10.lb</t>
  </si>
  <si>
    <t>SlideShow.Q32.jvet10.lb</t>
  </si>
  <si>
    <t>SlideShow.Q37.jvet10.lb</t>
  </si>
  <si>
    <t>Tango2.Q22.jvet10.lp</t>
  </si>
  <si>
    <t>Tango2.Q27.jvet10.lp</t>
  </si>
  <si>
    <t>Tango2.Q32.jvet10.lp</t>
  </si>
  <si>
    <t>Tango2.Q37.jvet10.lp</t>
  </si>
  <si>
    <t>DaylightRoad2.Q22.jvet10.lp</t>
  </si>
  <si>
    <t>DaylightRoad2.Q27.jvet10.lp</t>
  </si>
  <si>
    <t>DaylightRoad2.Q32.jvet10.lp</t>
  </si>
  <si>
    <t>DaylightRoad2.Q37.jvet10.lp</t>
  </si>
  <si>
    <t>Cactus.Q22.jvet10.lp</t>
  </si>
  <si>
    <t>Cactus.Q27.jvet10.lp</t>
  </si>
  <si>
    <t>Cactus.Q32.jvet10.lp</t>
  </si>
  <si>
    <t>Cactus.Q37.jvet10.lp</t>
  </si>
  <si>
    <t>BasketballDrive.Q22.jvet10.lp</t>
  </si>
  <si>
    <t>BasketballDrive.Q27.jvet10.lp</t>
  </si>
  <si>
    <t>BasketballDrive.Q32.jvet10.lp</t>
  </si>
  <si>
    <t>BasketballDrive.Q37.jvet10.lp</t>
  </si>
  <si>
    <t>BQTerrace.Q22.jvet10.lp</t>
  </si>
  <si>
    <t>BQTerrace.Q27.jvet10.lp</t>
  </si>
  <si>
    <t>BQTerrace.Q32.jvet10.lp</t>
  </si>
  <si>
    <t>BQTerrace.Q37.jvet10.lp</t>
  </si>
  <si>
    <t>BasketballDrill.Q22.jvet10.lp</t>
  </si>
  <si>
    <t>BasketballDrill.Q27.jvet10.lp</t>
  </si>
  <si>
    <t>BasketballDrill.Q32.jvet10.lp</t>
  </si>
  <si>
    <t>BasketballDrill.Q37.jvet10.lp</t>
  </si>
  <si>
    <t>BQMall.Q22.jvet10.lp</t>
  </si>
  <si>
    <t>BQMall.Q27.jvet10.lp</t>
  </si>
  <si>
    <t>BQMall.Q32.jvet10.lp</t>
  </si>
  <si>
    <t>BQMall.Q37.jvet10.lp</t>
  </si>
  <si>
    <t>PartyScene.Q22.jvet10.lp</t>
  </si>
  <si>
    <t>PartyScene.Q27.jvet10.lp</t>
  </si>
  <si>
    <t>PartyScene.Q32.jvet10.lp</t>
  </si>
  <si>
    <t>PartyScene.Q37.jvet10.lp</t>
  </si>
  <si>
    <t>RaceHorsesC.Q22.jvet10.lp</t>
  </si>
  <si>
    <t>RaceHorsesC.Q27.jvet10.lp</t>
  </si>
  <si>
    <t>RaceHorsesC.Q32.jvet10.lp</t>
  </si>
  <si>
    <t>RaceHorsesC.Q37.jvet10.lp</t>
  </si>
  <si>
    <t>BasketballPass.Q22.jvet10.lp</t>
  </si>
  <si>
    <t>BasketballPass.Q27.jvet10.lp</t>
  </si>
  <si>
    <t>BasketballPass.Q32.jvet10.lp</t>
  </si>
  <si>
    <t>BasketballPass.Q37.jvet10.lp</t>
  </si>
  <si>
    <t>BQSquare.Q22.jvet10.lp</t>
  </si>
  <si>
    <t>BQSquare.Q27.jvet10.lp</t>
  </si>
  <si>
    <t>BQSquare.Q32.jvet10.lp</t>
  </si>
  <si>
    <t>BQSquare.Q37.jvet10.lp</t>
  </si>
  <si>
    <t>BlowingBubbles.Q22.jvet10.lp</t>
  </si>
  <si>
    <t>BlowingBubbles.Q27.jvet10.lp</t>
  </si>
  <si>
    <t>BlowingBubbles.Q32.jvet10.lp</t>
  </si>
  <si>
    <t>BlowingBubbles.Q37.jvet10.lp</t>
  </si>
  <si>
    <t>RaceHorses.Q22.jvet10.lp</t>
  </si>
  <si>
    <t>RaceHorses.Q27.jvet10.lp</t>
  </si>
  <si>
    <t>RaceHorses.Q32.jvet10.lp</t>
  </si>
  <si>
    <t>RaceHorses.Q37.jvet10.lp</t>
  </si>
  <si>
    <t>FourPeople.Q22.jvet10.lp</t>
  </si>
  <si>
    <t>FourPeople.Q27.jvet10.lp</t>
  </si>
  <si>
    <t>FourPeople.Q32.jvet10.lp</t>
  </si>
  <si>
    <t>FourPeople.Q37.jvet10.lp</t>
  </si>
  <si>
    <t>Johnny.Q22.jvet10.lp</t>
  </si>
  <si>
    <t>Johnny.Q27.jvet10.lp</t>
  </si>
  <si>
    <t>Johnny.Q32.jvet10.lp</t>
  </si>
  <si>
    <t>Johnny.Q37.jvet10.lp</t>
  </si>
  <si>
    <t>KristenAndSara.Q22.jvet10.lp</t>
  </si>
  <si>
    <t>KristenAndSara.Q27.jvet10.lp</t>
  </si>
  <si>
    <t>KristenAndSara.Q32.jvet10.lp</t>
  </si>
  <si>
    <t>KristenAndSara.Q37.jvet10.lp</t>
  </si>
  <si>
    <t>BasketballDrillText.Q22.jvet10.lp</t>
  </si>
  <si>
    <t>BasketballDrillText.Q27.jvet10.lp</t>
  </si>
  <si>
    <t>BasketballDrillText.Q32.jvet10.lp</t>
  </si>
  <si>
    <t>BasketballDrillText.Q37.jvet10.lp</t>
  </si>
  <si>
    <t>SlideEditing.Q22.jvet10.lp</t>
  </si>
  <si>
    <t>SlideEditing.Q27.jvet10.lp</t>
  </si>
  <si>
    <t>SlideEditing.Q32.jvet10.lp</t>
  </si>
  <si>
    <t>SlideEditing.Q37.jvet10.lp</t>
  </si>
  <si>
    <t>SlideShow.Q22.jvet10.lp</t>
  </si>
  <si>
    <t>SlideShow.Q27.jvet10.lp</t>
  </si>
  <si>
    <t>SlideShow.Q32.jvet10.lp</t>
  </si>
  <si>
    <t>SlideShow.Q37.jvet10.lp</t>
  </si>
  <si>
    <t>Test</t>
  </si>
  <si>
    <t>Overall</t>
  </si>
  <si>
    <t>Tango2</t>
  </si>
  <si>
    <t>FoodMarket4</t>
  </si>
  <si>
    <t>DaylightRoad2</t>
  </si>
  <si>
    <t>ParkRunning3</t>
  </si>
  <si>
    <t>RitualDance</t>
  </si>
  <si>
    <t>MarketPlace</t>
  </si>
  <si>
    <t>FoodMarket4.Q22.jvet10.ai</t>
  </si>
  <si>
    <t>FoodMarket4.Q27.jvet10.ai</t>
  </si>
  <si>
    <t>FoodMarket4.Q32.jvet10.ai</t>
  </si>
  <si>
    <t>FoodMarket4.Q37.jvet10.ai</t>
  </si>
  <si>
    <t>ParkRunning3.Q22.jvet10.ai</t>
  </si>
  <si>
    <t>ParkRunning3.Q27.jvet10.ai</t>
  </si>
  <si>
    <t>ParkRunning3.Q32.jvet10.ai</t>
  </si>
  <si>
    <t>ParkRunning3.Q37.jvet10.ai</t>
  </si>
  <si>
    <t>MarketPlace.Q22.jvet10.ai</t>
  </si>
  <si>
    <t>MarketPlace.Q27.jvet10.ai</t>
  </si>
  <si>
    <t>MarketPlace.Q32.jvet10.ai</t>
  </si>
  <si>
    <t>MarketPlace.Q37.jvet10.ai</t>
  </si>
  <si>
    <t>RitualDance.Q22.jvet10.ai</t>
  </si>
  <si>
    <t>RitualDance.Q27.jvet10.ai</t>
  </si>
  <si>
    <t>RitualDance.Q32.jvet10.ai</t>
  </si>
  <si>
    <t>RitualDance.Q37.jvet10.ai</t>
  </si>
  <si>
    <t>FoodMarket4.Q22.jvet10.lb</t>
  </si>
  <si>
    <t>FoodMarket4.Q27.jvet10.lb</t>
  </si>
  <si>
    <t>FoodMarket4.Q32.jvet10.lb</t>
  </si>
  <si>
    <t>FoodMarket4.Q37.jvet10.lb</t>
  </si>
  <si>
    <t>ParkRunning3.Q22.jvet10.ra</t>
  </si>
  <si>
    <t>ParkRunning3.Q27.jvet10.ra</t>
  </si>
  <si>
    <t>ParkRunning3.Q32.jvet10.ra</t>
  </si>
  <si>
    <t>ParkRunning3.Q37.jvet10.ra</t>
  </si>
  <si>
    <t>FoodMarket4.Q22.jvet10.ra</t>
  </si>
  <si>
    <t>FoodMarket4.Q27.jvet10.ra</t>
  </si>
  <si>
    <t>FoodMarket4.Q32.jvet10.ra</t>
  </si>
  <si>
    <t>FoodMarket4.Q37.jvet10.ra</t>
  </si>
  <si>
    <t>MarketPlace.Q22.jvet10.ra</t>
  </si>
  <si>
    <t>MarketPlace.Q27.jvet10.ra</t>
  </si>
  <si>
    <t>MarketPlace.Q32.jvet10.ra</t>
  </si>
  <si>
    <t>MarketPlace.Q37.jvet10.ra</t>
  </si>
  <si>
    <t>MarketPlace.Q22.jvet10.lb</t>
  </si>
  <si>
    <t>MarketPlace.Q27.jvet10.lb</t>
  </si>
  <si>
    <t>MarketPlace.Q32.jvet10.lb</t>
  </si>
  <si>
    <t>MarketPlace.Q37.jvet10.lb</t>
  </si>
  <si>
    <t>MarketPlace.Q22.jvet10.lp</t>
  </si>
  <si>
    <t>MarketPlace.Q27.jvet10.lp</t>
  </si>
  <si>
    <t>MarketPlace.Q32.jvet10.lp</t>
  </si>
  <si>
    <t>MarketPlace.Q37.jvet10.lp</t>
  </si>
  <si>
    <t>ParkRunning3.Q22.jvet10.lb</t>
  </si>
  <si>
    <t>ParkRunning3.Q27.jvet10.lb</t>
  </si>
  <si>
    <t>ParkRunning3.Q32.jvet10.lb</t>
  </si>
  <si>
    <t>ParkRunning3.Q37.jvet10.lb</t>
  </si>
  <si>
    <t>RitualDance.Q22.jvet10.ra</t>
  </si>
  <si>
    <t>RitualDance.Q27.jvet10.ra</t>
  </si>
  <si>
    <t>RitualDance.Q32.jvet10.ra</t>
  </si>
  <si>
    <t>RitualDance.Q37.jvet10.ra</t>
  </si>
  <si>
    <t>RitualDance.Q22.jvet10.lb</t>
  </si>
  <si>
    <t>RitualDance.Q27.jvet10.lb</t>
  </si>
  <si>
    <t>RitualDance.Q32.jvet10.lb</t>
  </si>
  <si>
    <t>RitualDance.Q37.jvet10.lb</t>
  </si>
  <si>
    <t>RitualDance.Q22.jvet10.lp</t>
  </si>
  <si>
    <t>RitualDance.Q27.jvet10.lp</t>
  </si>
  <si>
    <t>RitualDance.Q32.jvet10.lp</t>
  </si>
  <si>
    <t>RitualDance.Q37.jvet10.lp</t>
  </si>
  <si>
    <t>FoodMarket4.Q22.jvet10.lp</t>
  </si>
  <si>
    <t>FoodMarket4.Q27.jvet10.lp</t>
  </si>
  <si>
    <t>FoodMarket4.Q32.jvet10.lp</t>
  </si>
  <si>
    <t>FoodMarket4.Q37.jvet10.lp</t>
  </si>
  <si>
    <t>ParkRunning3.Q22.jvet10.lp</t>
  </si>
  <si>
    <t>ParkRunning3.Q27.jvet10.lp</t>
  </si>
  <si>
    <t>ParkRunning3.Q32.jvet10.lp</t>
  </si>
  <si>
    <t>Campfire</t>
  </si>
  <si>
    <t>Cluster information</t>
  </si>
  <si>
    <t>CPU type:</t>
  </si>
  <si>
    <t>Hyperthreading:</t>
  </si>
  <si>
    <t>Turbo mode:</t>
  </si>
  <si>
    <t>Compiler:</t>
  </si>
  <si>
    <t>OS:</t>
  </si>
  <si>
    <t>MD5 SEI:</t>
  </si>
  <si>
    <t>(yes/no)</t>
  </si>
  <si>
    <t>(on/off)</t>
  </si>
  <si>
    <t>(e.g. SSE2)</t>
  </si>
  <si>
    <t>(e.g. Scientific Linux)</t>
  </si>
  <si>
    <t>(e.g. gcc 7.3.1)</t>
  </si>
  <si>
    <t>(e.g. Xeon …)</t>
  </si>
  <si>
    <t>YUV output:</t>
  </si>
  <si>
    <t>SIMD options:</t>
  </si>
  <si>
    <t>Decoding options</t>
  </si>
  <si>
    <t>Bitstream concatenation:</t>
  </si>
  <si>
    <t>ArenaOfValor</t>
  </si>
  <si>
    <t>ArenaOfValor.Q22.jvet10.ai</t>
  </si>
  <si>
    <t>ArenaOfValor.Q27.jvet10.ai</t>
  </si>
  <si>
    <t>ArenaOfValor.Q32.jvet10.ai</t>
  </si>
  <si>
    <t>ArenaOfValor.Q37.jvet10.ai</t>
  </si>
  <si>
    <t>ArenaOfValor.Q22.jvet10.ra</t>
  </si>
  <si>
    <t>ArenaOfValor.Q27.jvet10.ra</t>
  </si>
  <si>
    <t>ArenaOfValor.Q32.jvet10.ra</t>
  </si>
  <si>
    <t>ArenaOfValor.Q37.jvet10.ra</t>
  </si>
  <si>
    <t>ArenaOfValor.Q22.jvet10.lp</t>
  </si>
  <si>
    <t>ArenaOfValor.Q27.jvet10.lp</t>
  </si>
  <si>
    <t>ArenaOfValor.Q32.jvet10.lp</t>
  </si>
  <si>
    <t>ArenaOfValor.Q37.jvet10.lp</t>
  </si>
  <si>
    <t>ArenaOfValor.Q22.jvet10.lb</t>
  </si>
  <si>
    <t>ArenaOfValor.Q27.jvet10.lb</t>
  </si>
  <si>
    <t>ArenaOfValor.Q32.jvet10.lb</t>
  </si>
  <si>
    <t>ArenaOfValor.Q37.jvet10.lb</t>
  </si>
  <si>
    <t xml:space="preserve">Random access Main10 </t>
  </si>
  <si>
    <t>VTM-5.0</t>
  </si>
  <si>
    <t>AI</t>
  </si>
  <si>
    <t>RA</t>
  </si>
  <si>
    <t>LDB</t>
  </si>
  <si>
    <t>LDP</t>
  </si>
  <si>
    <t>All [hours]</t>
  </si>
  <si>
    <t>All [days]</t>
  </si>
  <si>
    <t>Sum</t>
  </si>
  <si>
    <t>Max</t>
  </si>
  <si>
    <t>Average</t>
  </si>
  <si>
    <t>Time sums</t>
  </si>
  <si>
    <t>Time max</t>
  </si>
  <si>
    <t>Campfire.Q22.jvet10.ai</t>
  </si>
  <si>
    <t>Campfire.Q27.jvet10.ai</t>
  </si>
  <si>
    <t>Campfire.Q32.jvet10.ai</t>
  </si>
  <si>
    <t>Campfire.Q37.jvet10.ai</t>
  </si>
  <si>
    <t>Campfire.Q22.jvet10.ra</t>
  </si>
  <si>
    <t>Campfire.Q27.jvet10.ra</t>
  </si>
  <si>
    <t>Campfire.Q32.jvet10.ra</t>
  </si>
  <si>
    <t>Campfire.Q37.jvet10.ra</t>
  </si>
  <si>
    <t>Campfire.Q22.jvet10.lb</t>
  </si>
  <si>
    <t>Campfire.Q27.jvet10.lb</t>
  </si>
  <si>
    <t>Campfire.Q32.jvet10.lb</t>
  </si>
  <si>
    <t>Campfire.Q37.jvet10.lb</t>
  </si>
  <si>
    <t>Campfire.Q22.jvet10.lp</t>
  </si>
  <si>
    <t>Campfire.Q27.jvet10.lp</t>
  </si>
  <si>
    <t>Campfire.Q32.jvet10.lp</t>
  </si>
  <si>
    <t>Campfire.Q37.jvet10.lp</t>
  </si>
  <si>
    <t>CatRobot</t>
  </si>
  <si>
    <t>CatRobot.Q22.jvet10.ai</t>
  </si>
  <si>
    <t>CatRobot.Q27.jvet10.ai</t>
  </si>
  <si>
    <t>CatRobot.Q32.jvet10.ai</t>
  </si>
  <si>
    <t>CatRobot.Q37.jvet10.ai</t>
  </si>
  <si>
    <t>CatRobot.Q22.jvet10.ra</t>
  </si>
  <si>
    <t>CatRobot.Q27.jvet10.ra</t>
  </si>
  <si>
    <t>CatRobot.Q32.jvet10.ra</t>
  </si>
  <si>
    <t>CatRobot.Q37.jvet10.ra</t>
  </si>
  <si>
    <t>CatRobot.Q22.jvet10.lb</t>
  </si>
  <si>
    <t>CatRobot.Q27.jvet10.lb</t>
  </si>
  <si>
    <t>CatRobot.Q32.jvet10.lb</t>
  </si>
  <si>
    <t>CatRobot.Q37.jvet10.lb</t>
  </si>
  <si>
    <t>CatRobot.Q22.jvet10.lp</t>
  </si>
  <si>
    <t>CatRobot.Q27.jvet10.lp</t>
  </si>
  <si>
    <t>CatRobot.Q32.jvet10.lp</t>
  </si>
  <si>
    <t>CatRobot.Q37.jvet10.lp</t>
  </si>
  <si>
    <t>SlideShow.Q32.jvet10.ra</t>
    <phoneticPr fontId="10" type="noConversion"/>
  </si>
  <si>
    <t>Tango2.Q32.jvet10.lb</t>
    <phoneticPr fontId="10" type="noConversion"/>
  </si>
  <si>
    <t>FoodMarket4.Q27.jvet10.lb</t>
    <phoneticPr fontId="10" type="noConversion"/>
  </si>
  <si>
    <t>BasketballDrill.Q22.jvet10.ai</t>
    <phoneticPr fontId="10" type="noConversion"/>
  </si>
  <si>
    <t>RaceHorses.Q22.jvet10.ai</t>
    <phoneticPr fontId="10" type="noConversion"/>
  </si>
  <si>
    <t>PartyScene.Q22.jvet10.ai</t>
    <phoneticPr fontId="10" type="noConversion"/>
  </si>
  <si>
    <t>FourPeople.Q22.jvet10.ai</t>
    <phoneticPr fontId="10" type="noConversion"/>
  </si>
  <si>
    <t>SlideEditing.Q22.jvet10.ai</t>
    <phoneticPr fontId="10" type="noConversion"/>
  </si>
  <si>
    <t>BasketballDrillText.Q22.jvet10.ai</t>
    <phoneticPr fontId="10" type="noConversion"/>
  </si>
  <si>
    <t>SlideShow.Q22.jvet10.ai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</si>
</sst>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%"/>
    <numFmt numFmtId="178" formatCode="0.0"/>
    <numFmt numFmtId="179" formatCode="0.00000%"/>
  </numFmts>
  <fonts count="11" x14ac:knownFonts="1">
    <font>
      <sz val="12"/>
      <color theme="1"/>
      <name val="맑은 고딕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맑은 고딕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맑은 고딕"/>
      <family val="2"/>
      <charset val="129"/>
      <scheme val="minor"/>
    </font>
    <font>
      <u/>
      <sz val="12"/>
      <color theme="11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8" fontId="4" fillId="0" borderId="0" xfId="0" applyNumberFormat="1" applyFont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0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77" fontId="2" fillId="0" borderId="0" xfId="0" applyNumberFormat="1" applyFont="1"/>
    <xf numFmtId="10" fontId="2" fillId="0" borderId="0" xfId="0" applyNumberFormat="1" applyFont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4" xfId="0" applyNumberFormat="1" applyFont="1" applyBorder="1"/>
    <xf numFmtId="2" fontId="2" fillId="0" borderId="0" xfId="0" applyNumberFormat="1" applyFont="1" applyBorder="1"/>
    <xf numFmtId="2" fontId="2" fillId="0" borderId="12" xfId="0" applyNumberFormat="1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76" fontId="0" fillId="0" borderId="0" xfId="0" applyNumberFormat="1"/>
    <xf numFmtId="9" fontId="2" fillId="0" borderId="4" xfId="0" applyNumberFormat="1" applyFont="1" applyBorder="1" applyAlignment="1">
      <alignment horizontal="center" vertical="center"/>
    </xf>
    <xf numFmtId="179" fontId="2" fillId="0" borderId="3" xfId="0" applyNumberFormat="1" applyFont="1" applyBorder="1" applyAlignment="1">
      <alignment horizontal="center"/>
    </xf>
    <xf numFmtId="179" fontId="2" fillId="0" borderId="4" xfId="0" applyNumberFormat="1" applyFont="1" applyBorder="1" applyAlignment="1">
      <alignment horizontal="center"/>
    </xf>
    <xf numFmtId="179" fontId="2" fillId="0" borderId="5" xfId="0" applyNumberFormat="1" applyFont="1" applyBorder="1" applyAlignment="1">
      <alignment horizontal="center"/>
    </xf>
    <xf numFmtId="179" fontId="2" fillId="0" borderId="8" xfId="0" applyNumberFormat="1" applyFont="1" applyBorder="1"/>
    <xf numFmtId="179" fontId="2" fillId="0" borderId="0" xfId="0" applyNumberFormat="1" applyFont="1" applyBorder="1"/>
    <xf numFmtId="179" fontId="2" fillId="0" borderId="9" xfId="0" applyNumberFormat="1" applyFont="1" applyBorder="1"/>
    <xf numFmtId="179" fontId="2" fillId="0" borderId="11" xfId="0" applyNumberFormat="1" applyFont="1" applyBorder="1"/>
    <xf numFmtId="179" fontId="2" fillId="0" borderId="12" xfId="0" applyNumberFormat="1" applyFont="1" applyBorder="1"/>
    <xf numFmtId="179" fontId="2" fillId="0" borderId="13" xfId="0" applyNumberFormat="1" applyFont="1" applyBorder="1"/>
    <xf numFmtId="176" fontId="2" fillId="0" borderId="4" xfId="0" applyNumberFormat="1" applyFont="1" applyBorder="1"/>
    <xf numFmtId="176" fontId="2" fillId="0" borderId="0" xfId="0" applyNumberFormat="1" applyFont="1" applyBorder="1"/>
    <xf numFmtId="176" fontId="2" fillId="0" borderId="12" xfId="0" applyNumberFormat="1" applyFont="1" applyBorder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0" fontId="2" fillId="0" borderId="11" xfId="0" applyNumberFormat="1" applyFont="1" applyBorder="1" applyAlignment="1">
      <alignment horizontal="center" vertical="center"/>
    </xf>
    <xf numFmtId="10" fontId="2" fillId="0" borderId="12" xfId="0" applyNumberFormat="1" applyFont="1" applyBorder="1" applyAlignment="1">
      <alignment horizontal="center" vertical="center"/>
    </xf>
    <xf numFmtId="9" fontId="2" fillId="0" borderId="12" xfId="0" applyNumberFormat="1" applyFont="1" applyBorder="1" applyAlignment="1">
      <alignment horizontal="center" vertical="center"/>
    </xf>
    <xf numFmtId="9" fontId="2" fillId="0" borderId="13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center" vertical="center"/>
    </xf>
    <xf numFmtId="0" fontId="6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1" fontId="2" fillId="0" borderId="4" xfId="0" applyNumberFormat="1" applyFont="1" applyBorder="1" applyAlignment="1">
      <alignment horizontal="center"/>
    </xf>
    <xf numFmtId="178" fontId="2" fillId="0" borderId="5" xfId="0" applyNumberFormat="1" applyFont="1" applyBorder="1" applyAlignment="1">
      <alignment horizontal="center"/>
    </xf>
    <xf numFmtId="1" fontId="2" fillId="0" borderId="11" xfId="0" applyNumberFormat="1" applyFont="1" applyBorder="1" applyAlignment="1">
      <alignment horizontal="center"/>
    </xf>
    <xf numFmtId="1" fontId="2" fillId="0" borderId="12" xfId="0" applyNumberFormat="1" applyFont="1" applyBorder="1" applyAlignment="1">
      <alignment horizontal="center"/>
    </xf>
    <xf numFmtId="178" fontId="2" fillId="0" borderId="13" xfId="0" applyNumberFormat="1" applyFont="1" applyBorder="1" applyAlignment="1">
      <alignment horizontal="center"/>
    </xf>
    <xf numFmtId="9" fontId="2" fillId="0" borderId="8" xfId="0" applyNumberFormat="1" applyFont="1" applyBorder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8" xfId="0" applyFont="1" applyBorder="1"/>
    <xf numFmtId="9" fontId="2" fillId="0" borderId="9" xfId="0" applyNumberFormat="1" applyFont="1" applyBorder="1" applyAlignment="1">
      <alignment horizontal="center"/>
    </xf>
    <xf numFmtId="0" fontId="2" fillId="0" borderId="11" xfId="0" applyFont="1" applyBorder="1"/>
    <xf numFmtId="9" fontId="2" fillId="0" borderId="11" xfId="0" applyNumberFormat="1" applyFont="1" applyBorder="1" applyAlignment="1">
      <alignment horizontal="center"/>
    </xf>
    <xf numFmtId="9" fontId="2" fillId="0" borderId="12" xfId="0" applyNumberFormat="1" applyFont="1" applyBorder="1" applyAlignment="1">
      <alignment horizontal="center"/>
    </xf>
    <xf numFmtId="9" fontId="2" fillId="0" borderId="13" xfId="0" applyNumberFormat="1" applyFont="1" applyBorder="1" applyAlignment="1">
      <alignment horizontal="center"/>
    </xf>
    <xf numFmtId="0" fontId="5" fillId="0" borderId="0" xfId="0" applyFo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6">
    <cellStyle name="백분율" xfId="1" builtinId="5"/>
    <cellStyle name="열어 본 하이퍼링크" xfId="3" builtinId="9" hidden="1"/>
    <cellStyle name="열어 본 하이퍼링크" xfId="5" builtinId="9" hidden="1"/>
    <cellStyle name="표준" xfId="0" builtinId="0"/>
    <cellStyle name="하이퍼링크" xfId="2" builtinId="8" hidden="1"/>
    <cellStyle name="하이퍼링크" xfId="4" builtinId="8" hidden="1"/>
  </cellStyles>
  <dxfs count="99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801336"/>
        <c:axId val="2145096440"/>
      </c:scatterChart>
      <c:valAx>
        <c:axId val="-212380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2145096440"/>
        <c:crosses val="autoZero"/>
        <c:crossBetween val="midCat"/>
      </c:valAx>
      <c:valAx>
        <c:axId val="2145096440"/>
        <c:scaling>
          <c:orientation val="minMax"/>
          <c:max val="42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38013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122280"/>
        <c:axId val="-2125129048"/>
      </c:scatterChart>
      <c:valAx>
        <c:axId val="-2125122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5129048"/>
        <c:crosses val="autoZero"/>
        <c:crossBetween val="midCat"/>
      </c:valAx>
      <c:valAx>
        <c:axId val="-2125129048"/>
        <c:scaling>
          <c:orientation val="minMax"/>
          <c:max val="44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51222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4582424"/>
        <c:axId val="-2125102120"/>
      </c:scatterChart>
      <c:valAx>
        <c:axId val="-2124582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5102120"/>
        <c:crosses val="autoZero"/>
        <c:crossBetween val="midCat"/>
      </c:valAx>
      <c:valAx>
        <c:axId val="-2125102120"/>
        <c:scaling>
          <c:orientation val="minMax"/>
          <c:max val="4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458242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473272"/>
        <c:axId val="-2123880856"/>
      </c:scatterChart>
      <c:valAx>
        <c:axId val="2144473272"/>
        <c:scaling>
          <c:logBase val="10"/>
          <c:orientation val="minMax"/>
          <c:max val="10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3880856"/>
        <c:crosses val="autoZero"/>
        <c:crossBetween val="midCat"/>
      </c:valAx>
      <c:valAx>
        <c:axId val="-2123880856"/>
        <c:scaling>
          <c:orientation val="minMax"/>
          <c:max val="42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214447327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BasketballDrillText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BasketballDrillText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BasketballDrillText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BasketballDrillText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S48"/>
  <sheetViews>
    <sheetView workbookViewId="0">
      <selection activeCell="D6" sqref="D6"/>
    </sheetView>
  </sheetViews>
  <sheetFormatPr defaultColWidth="10.88671875" defaultRowHeight="12" x14ac:dyDescent="0.2"/>
  <cols>
    <col min="1" max="1" width="4.109375" style="1" customWidth="1"/>
    <col min="2" max="2" width="13.6640625" style="77" customWidth="1"/>
    <col min="3" max="7" width="8.88671875" style="77" customWidth="1"/>
    <col min="8" max="8" width="10.88671875" style="1"/>
    <col min="9" max="9" width="20.6640625" style="1" customWidth="1"/>
    <col min="10" max="16384" width="10.88671875" style="1"/>
  </cols>
  <sheetData>
    <row r="1" spans="2:19" ht="12.75" thickBot="1" x14ac:dyDescent="0.25"/>
    <row r="2" spans="2:19" ht="12.75" customHeight="1" thickBot="1" x14ac:dyDescent="0.25">
      <c r="C2" s="115"/>
      <c r="D2" s="116"/>
      <c r="E2" s="118" t="s">
        <v>65</v>
      </c>
      <c r="F2" s="116"/>
      <c r="G2" s="117"/>
      <c r="I2" s="28"/>
      <c r="J2" s="28"/>
      <c r="M2" s="28" t="str">
        <f>CONCATENATE("Encoder run times for ", J3)</f>
        <v>Encoder run times for VTM-5.0</v>
      </c>
    </row>
    <row r="3" spans="2:19" ht="12.75" customHeight="1" thickBot="1" x14ac:dyDescent="0.25">
      <c r="C3" s="112"/>
      <c r="D3" s="113"/>
      <c r="E3" s="113" t="str">
        <f>CONCATENATE("Over ", $J$3)</f>
        <v>Over VTM-5.0</v>
      </c>
      <c r="F3" s="113"/>
      <c r="G3" s="114"/>
      <c r="I3" s="28" t="s">
        <v>27</v>
      </c>
      <c r="J3" s="28" t="s">
        <v>486</v>
      </c>
      <c r="N3" s="5" t="s">
        <v>487</v>
      </c>
      <c r="O3" s="6" t="s">
        <v>488</v>
      </c>
      <c r="P3" s="6" t="s">
        <v>489</v>
      </c>
      <c r="Q3" s="6" t="s">
        <v>490</v>
      </c>
      <c r="R3" s="6" t="s">
        <v>491</v>
      </c>
      <c r="S3" s="119" t="s">
        <v>492</v>
      </c>
    </row>
    <row r="4" spans="2:19" ht="12.75" customHeight="1" thickBot="1" x14ac:dyDescent="0.25">
      <c r="C4" s="62" t="s">
        <v>21</v>
      </c>
      <c r="D4" s="63" t="s">
        <v>22</v>
      </c>
      <c r="E4" s="64" t="s">
        <v>23</v>
      </c>
      <c r="F4" s="65" t="s">
        <v>39</v>
      </c>
      <c r="G4" s="66" t="s">
        <v>40</v>
      </c>
      <c r="I4" s="28" t="s">
        <v>28</v>
      </c>
      <c r="J4" s="28" t="s">
        <v>379</v>
      </c>
      <c r="M4" s="11" t="s">
        <v>493</v>
      </c>
      <c r="N4" s="120">
        <f>'AI-10'!J127</f>
        <v>0</v>
      </c>
      <c r="O4" s="121">
        <f>'RA-10'!J127</f>
        <v>55.314439444444439</v>
      </c>
      <c r="P4" s="121">
        <f>'LDB-10'!J127</f>
        <v>107.29984750000001</v>
      </c>
      <c r="Q4" s="121">
        <f>'LDP-10'!J127</f>
        <v>74.748403333333329</v>
      </c>
      <c r="R4" s="121">
        <f>SUM(N4:Q4)</f>
        <v>237.36269027777777</v>
      </c>
      <c r="S4" s="122">
        <f>R4/24</f>
        <v>9.8901120949074066</v>
      </c>
    </row>
    <row r="5" spans="2:19" ht="12.75" customHeight="1" thickBot="1" x14ac:dyDescent="0.25">
      <c r="B5" s="78" t="s">
        <v>69</v>
      </c>
      <c r="C5" s="67" t="e">
        <f>'AI-10'!V107</f>
        <v>#VALUE!</v>
      </c>
      <c r="D5" s="68" t="e">
        <f>'AI-10'!W107</f>
        <v>#VALUE!</v>
      </c>
      <c r="E5" s="69" t="e">
        <f>'AI-10'!X107</f>
        <v>#VALUE!</v>
      </c>
      <c r="F5" s="70" t="e">
        <f>'AI-10'!S107</f>
        <v>#DIV/0!</v>
      </c>
      <c r="G5" s="71" t="e">
        <f>'AI-10'!T107</f>
        <v>#DIV/0!</v>
      </c>
      <c r="H5" s="25"/>
      <c r="J5" s="28"/>
      <c r="M5" s="21" t="s">
        <v>494</v>
      </c>
      <c r="N5" s="123">
        <f>'AI-10'!J137</f>
        <v>0</v>
      </c>
      <c r="O5" s="124">
        <f>'RA-10'!J137</f>
        <v>7.5770338888888888</v>
      </c>
      <c r="P5" s="124">
        <f>'LDB-10'!J137</f>
        <v>10.975261666666668</v>
      </c>
      <c r="Q5" s="124">
        <f>'LDP-10'!J137</f>
        <v>8.6805294444444439</v>
      </c>
      <c r="R5" s="124">
        <f>MAX(N5,O5/4,P5,Q5)</f>
        <v>10.975261666666668</v>
      </c>
      <c r="S5" s="125">
        <f>R5/24</f>
        <v>0.45730256944444453</v>
      </c>
    </row>
    <row r="6" spans="2:19" ht="12.75" customHeight="1" x14ac:dyDescent="0.2">
      <c r="B6" s="79" t="s">
        <v>70</v>
      </c>
      <c r="C6" s="72" t="e">
        <f>'AI-10'!V108</f>
        <v>#VALUE!</v>
      </c>
      <c r="D6" s="73" t="e">
        <f>'AI-10'!W108</f>
        <v>#VALUE!</v>
      </c>
      <c r="E6" s="74" t="e">
        <f>'AI-10'!X108</f>
        <v>#VALUE!</v>
      </c>
      <c r="F6" s="75" t="e">
        <f>'AI-10'!S108</f>
        <v>#DIV/0!</v>
      </c>
      <c r="G6" s="76" t="e">
        <f>'AI-10'!T108</f>
        <v>#DIV/0!</v>
      </c>
      <c r="H6" s="25"/>
      <c r="J6" s="28"/>
    </row>
    <row r="7" spans="2:19" ht="12.75" customHeight="1" x14ac:dyDescent="0.2">
      <c r="B7" s="79" t="s">
        <v>1</v>
      </c>
      <c r="C7" s="72" t="e">
        <f>'AI-10'!V109</f>
        <v>#VALUE!</v>
      </c>
      <c r="D7" s="73" t="e">
        <f>'AI-10'!W109</f>
        <v>#VALUE!</v>
      </c>
      <c r="E7" s="74" t="e">
        <f>'AI-10'!X109</f>
        <v>#VALUE!</v>
      </c>
      <c r="F7" s="75" t="e">
        <f>'AI-10'!S109</f>
        <v>#DIV/0!</v>
      </c>
      <c r="G7" s="76" t="e">
        <f>'AI-10'!T109</f>
        <v>#DIV/0!</v>
      </c>
      <c r="H7" s="25"/>
    </row>
    <row r="8" spans="2:19" ht="12.75" customHeight="1" thickBot="1" x14ac:dyDescent="0.25">
      <c r="B8" s="79" t="s">
        <v>5</v>
      </c>
      <c r="C8" s="72" t="e">
        <f>'AI-10'!V110</f>
        <v>#VALUE!</v>
      </c>
      <c r="D8" s="73" t="e">
        <f>'AI-10'!W110</f>
        <v>#VALUE!</v>
      </c>
      <c r="E8" s="74" t="e">
        <f>'AI-10'!X110</f>
        <v>#VALUE!</v>
      </c>
      <c r="F8" s="75" t="e">
        <f>'AI-10'!S110</f>
        <v>#DIV/0!</v>
      </c>
      <c r="G8" s="76" t="e">
        <f>'AI-10'!T110</f>
        <v>#DIV/0!</v>
      </c>
      <c r="H8" s="25"/>
      <c r="M8" s="28" t="str">
        <f>CONCATENATE("Encoder run times for ", J4)</f>
        <v>Encoder run times for Test</v>
      </c>
    </row>
    <row r="9" spans="2:19" ht="12.75" customHeight="1" thickBot="1" x14ac:dyDescent="0.25">
      <c r="B9" s="79" t="s">
        <v>7</v>
      </c>
      <c r="C9" s="72" t="e">
        <f>'AI-10'!V112</f>
        <v>#VALUE!</v>
      </c>
      <c r="D9" s="73" t="e">
        <f>'AI-10'!W112</f>
        <v>#VALUE!</v>
      </c>
      <c r="E9" s="74" t="e">
        <f>'AI-10'!X112</f>
        <v>#VALUE!</v>
      </c>
      <c r="F9" s="75" t="e">
        <f>'AI-10'!S112</f>
        <v>#DIV/0!</v>
      </c>
      <c r="G9" s="76" t="e">
        <f>'AI-10'!T112</f>
        <v>#DIV/0!</v>
      </c>
      <c r="H9" s="25"/>
      <c r="N9" s="5" t="s">
        <v>487</v>
      </c>
      <c r="O9" s="6" t="s">
        <v>488</v>
      </c>
      <c r="P9" s="6" t="s">
        <v>489</v>
      </c>
      <c r="Q9" s="6" t="s">
        <v>490</v>
      </c>
      <c r="R9" s="6" t="s">
        <v>491</v>
      </c>
      <c r="S9" s="119" t="s">
        <v>492</v>
      </c>
    </row>
    <row r="10" spans="2:19" s="20" customFormat="1" ht="12.75" customHeight="1" thickBot="1" x14ac:dyDescent="0.25">
      <c r="B10" s="103" t="s">
        <v>66</v>
      </c>
      <c r="C10" s="67" t="e">
        <f>'AI-10'!V114</f>
        <v>#VALUE!</v>
      </c>
      <c r="D10" s="68" t="e">
        <f>'AI-10'!W114</f>
        <v>#VALUE!</v>
      </c>
      <c r="E10" s="69" t="e">
        <f>'AI-10'!X114</f>
        <v>#VALUE!</v>
      </c>
      <c r="F10" s="70" t="e">
        <f>'AI-10'!S114</f>
        <v>#DIV/0!</v>
      </c>
      <c r="G10" s="71" t="e">
        <f>'AI-10'!T114</f>
        <v>#DIV/0!</v>
      </c>
      <c r="H10" s="25"/>
      <c r="I10" s="38" t="s">
        <v>26</v>
      </c>
      <c r="M10" s="11" t="s">
        <v>493</v>
      </c>
      <c r="N10" s="120">
        <f>'AI-10'!R127</f>
        <v>0</v>
      </c>
      <c r="O10" s="121">
        <f>'RA-10'!R127</f>
        <v>0</v>
      </c>
      <c r="P10" s="121">
        <f>'LDB-10'!R127</f>
        <v>0</v>
      </c>
      <c r="Q10" s="121">
        <f>'LDP-10'!R127</f>
        <v>0</v>
      </c>
      <c r="R10" s="121">
        <f>SUM(N10:Q10)</f>
        <v>0</v>
      </c>
      <c r="S10" s="122">
        <f>R10/24</f>
        <v>0</v>
      </c>
    </row>
    <row r="11" spans="2:19" s="20" customFormat="1" ht="12.75" customHeight="1" thickBot="1" x14ac:dyDescent="0.25">
      <c r="B11" s="105" t="s">
        <v>6</v>
      </c>
      <c r="C11" s="67" t="e">
        <f>'AI-10'!V111</f>
        <v>#VALUE!</v>
      </c>
      <c r="D11" s="68" t="e">
        <f>'AI-10'!W111</f>
        <v>#VALUE!</v>
      </c>
      <c r="E11" s="69" t="e">
        <f>'AI-10'!X111</f>
        <v>#VALUE!</v>
      </c>
      <c r="F11" s="81" t="e">
        <f>'AI-10'!S111</f>
        <v>#DIV/0!</v>
      </c>
      <c r="G11" s="71" t="e">
        <f>'AI-10'!T111</f>
        <v>#DIV/0!</v>
      </c>
      <c r="H11" s="25"/>
      <c r="I11" s="38"/>
      <c r="M11" s="21" t="s">
        <v>494</v>
      </c>
      <c r="N11" s="123">
        <f>'AI-10'!R137</f>
        <v>0</v>
      </c>
      <c r="O11" s="124">
        <f>'RA-10'!R137</f>
        <v>0</v>
      </c>
      <c r="P11" s="124">
        <f>'LDB-10'!R137</f>
        <v>0</v>
      </c>
      <c r="Q11" s="124">
        <f>'LDP-10'!R137</f>
        <v>0</v>
      </c>
      <c r="R11" s="124">
        <f>MAX(N11,O11/4,P11,Q11)</f>
        <v>0</v>
      </c>
      <c r="S11" s="125">
        <f>R11/24</f>
        <v>0</v>
      </c>
    </row>
    <row r="12" spans="2:19" ht="12.75" customHeight="1" thickBot="1" x14ac:dyDescent="0.25">
      <c r="B12" s="62" t="s">
        <v>43</v>
      </c>
      <c r="C12" s="106" t="e">
        <f>'AI-10'!V113</f>
        <v>#VALUE!</v>
      </c>
      <c r="D12" s="107" t="e">
        <f>'AI-10'!W113</f>
        <v>#VALUE!</v>
      </c>
      <c r="E12" s="110" t="e">
        <f>'AI-10'!X113</f>
        <v>#VALUE!</v>
      </c>
      <c r="F12" s="108" t="e">
        <f>'AI-10'!S113</f>
        <v>#DIV/0!</v>
      </c>
      <c r="G12" s="109" t="e">
        <f>'AI-10'!T113</f>
        <v>#DIV/0!</v>
      </c>
      <c r="H12" s="25"/>
    </row>
    <row r="13" spans="2:19" ht="12.75" customHeight="1" thickBot="1" x14ac:dyDescent="0.25">
      <c r="I13" s="111" t="s">
        <v>451</v>
      </c>
    </row>
    <row r="14" spans="2:19" ht="12.75" customHeight="1" thickBot="1" x14ac:dyDescent="0.25">
      <c r="C14" s="115"/>
      <c r="D14" s="116"/>
      <c r="E14" s="118" t="s">
        <v>485</v>
      </c>
      <c r="F14" s="116"/>
      <c r="G14" s="117"/>
      <c r="J14" s="28"/>
      <c r="M14" s="28" t="str">
        <f>CONCATENATE("Encoder run times for ", J4, " over ", J3)</f>
        <v>Encoder run times for Test over VTM-5.0</v>
      </c>
    </row>
    <row r="15" spans="2:19" ht="12.75" customHeight="1" thickBot="1" x14ac:dyDescent="0.25">
      <c r="C15" s="112"/>
      <c r="D15" s="113"/>
      <c r="E15" s="113" t="str">
        <f>CONCATENATE("Over ", $J$3)</f>
        <v>Over VTM-5.0</v>
      </c>
      <c r="F15" s="113"/>
      <c r="G15" s="114"/>
      <c r="I15" s="28" t="s">
        <v>452</v>
      </c>
      <c r="J15" s="1" t="s">
        <v>463</v>
      </c>
      <c r="N15" s="5" t="s">
        <v>487</v>
      </c>
      <c r="O15" s="6" t="s">
        <v>488</v>
      </c>
      <c r="P15" s="6" t="s">
        <v>489</v>
      </c>
      <c r="Q15" s="6" t="s">
        <v>490</v>
      </c>
      <c r="R15" s="119" t="s">
        <v>8</v>
      </c>
    </row>
    <row r="16" spans="2:19" ht="12.75" customHeight="1" thickBot="1" x14ac:dyDescent="0.25">
      <c r="C16" s="62" t="s">
        <v>21</v>
      </c>
      <c r="D16" s="63" t="s">
        <v>22</v>
      </c>
      <c r="E16" s="64" t="s">
        <v>23</v>
      </c>
      <c r="F16" s="65" t="s">
        <v>39</v>
      </c>
      <c r="G16" s="66" t="s">
        <v>40</v>
      </c>
      <c r="I16" s="28"/>
      <c r="J16" s="40"/>
      <c r="K16" s="40"/>
      <c r="L16" s="40"/>
      <c r="M16" s="57" t="s">
        <v>495</v>
      </c>
      <c r="N16" s="126" t="e">
        <f>F10</f>
        <v>#DIV/0!</v>
      </c>
      <c r="O16" s="127" t="e">
        <f>F22</f>
        <v>#DIV/0!</v>
      </c>
      <c r="P16" s="127" t="e">
        <f>F34</f>
        <v>#DIV/0!</v>
      </c>
      <c r="Q16" s="127" t="e">
        <f>F46</f>
        <v>#DIV/0!</v>
      </c>
      <c r="R16" s="128"/>
    </row>
    <row r="17" spans="2:18" ht="12.75" customHeight="1" x14ac:dyDescent="0.2">
      <c r="B17" s="78" t="str">
        <f>B5</f>
        <v>Class A1</v>
      </c>
      <c r="C17" s="67" t="e">
        <f>'RA-10'!V107</f>
        <v>#VALUE!</v>
      </c>
      <c r="D17" s="68" t="e">
        <f>'RA-10'!W107</f>
        <v>#VALUE!</v>
      </c>
      <c r="E17" s="69" t="e">
        <f>'RA-10'!X107</f>
        <v>#VALUE!</v>
      </c>
      <c r="F17" s="70" t="e">
        <f>'RA-10'!S107</f>
        <v>#DIV/0!</v>
      </c>
      <c r="G17" s="71" t="e">
        <f>'RA-10'!T107</f>
        <v>#DIV/0!</v>
      </c>
      <c r="H17" s="25"/>
      <c r="I17" s="28" t="s">
        <v>453</v>
      </c>
      <c r="J17" s="40" t="s">
        <v>459</v>
      </c>
      <c r="K17" s="40"/>
      <c r="L17" s="40"/>
      <c r="M17" s="129" t="s">
        <v>493</v>
      </c>
      <c r="N17" s="126" t="e">
        <f t="shared" ref="N17:R18" si="0">N10/N4</f>
        <v>#DIV/0!</v>
      </c>
      <c r="O17" s="127">
        <f t="shared" si="0"/>
        <v>0</v>
      </c>
      <c r="P17" s="127">
        <f t="shared" si="0"/>
        <v>0</v>
      </c>
      <c r="Q17" s="127">
        <f t="shared" si="0"/>
        <v>0</v>
      </c>
      <c r="R17" s="130">
        <f t="shared" si="0"/>
        <v>0</v>
      </c>
    </row>
    <row r="18" spans="2:18" ht="12.75" customHeight="1" thickBot="1" x14ac:dyDescent="0.25">
      <c r="B18" s="79" t="str">
        <f>B6</f>
        <v>Class A2</v>
      </c>
      <c r="C18" s="72" t="e">
        <f>'RA-10'!V108</f>
        <v>#VALUE!</v>
      </c>
      <c r="D18" s="73" t="e">
        <f>'RA-10'!W108</f>
        <v>#VALUE!</v>
      </c>
      <c r="E18" s="74" t="e">
        <f>'RA-10'!X108</f>
        <v>#VALUE!</v>
      </c>
      <c r="F18" s="75" t="e">
        <f>'RA-10'!S108</f>
        <v>#DIV/0!</v>
      </c>
      <c r="G18" s="76" t="e">
        <f>'RA-10'!T108</f>
        <v>#DIV/0!</v>
      </c>
      <c r="H18" s="25"/>
      <c r="I18" s="28" t="s">
        <v>454</v>
      </c>
      <c r="J18" s="40" t="s">
        <v>459</v>
      </c>
      <c r="K18" s="40"/>
      <c r="L18" s="40"/>
      <c r="M18" s="131" t="s">
        <v>494</v>
      </c>
      <c r="N18" s="132" t="e">
        <f t="shared" si="0"/>
        <v>#DIV/0!</v>
      </c>
      <c r="O18" s="133">
        <f t="shared" si="0"/>
        <v>0</v>
      </c>
      <c r="P18" s="133">
        <f t="shared" si="0"/>
        <v>0</v>
      </c>
      <c r="Q18" s="133">
        <f t="shared" si="0"/>
        <v>0</v>
      </c>
      <c r="R18" s="134">
        <f t="shared" si="0"/>
        <v>0</v>
      </c>
    </row>
    <row r="19" spans="2:18" ht="12.75" customHeight="1" x14ac:dyDescent="0.2">
      <c r="B19" s="79" t="str">
        <f>B7</f>
        <v>Class B</v>
      </c>
      <c r="C19" s="72" t="e">
        <f>'RA-10'!V109</f>
        <v>#VALUE!</v>
      </c>
      <c r="D19" s="73" t="e">
        <f>'RA-10'!W109</f>
        <v>#VALUE!</v>
      </c>
      <c r="E19" s="74" t="e">
        <f>'RA-10'!X109</f>
        <v>#VALUE!</v>
      </c>
      <c r="F19" s="75" t="e">
        <f>'RA-10'!S109</f>
        <v>#DIV/0!</v>
      </c>
      <c r="G19" s="76" t="e">
        <f>'RA-10'!T109</f>
        <v>#DIV/0!</v>
      </c>
      <c r="H19" s="25"/>
    </row>
    <row r="20" spans="2:18" ht="12.75" customHeight="1" x14ac:dyDescent="0.2">
      <c r="B20" s="79" t="str">
        <f>B8</f>
        <v>Class C</v>
      </c>
      <c r="C20" s="72" t="e">
        <f>'RA-10'!V110</f>
        <v>#VALUE!</v>
      </c>
      <c r="D20" s="73" t="e">
        <f>'RA-10'!W110</f>
        <v>#VALUE!</v>
      </c>
      <c r="E20" s="74" t="e">
        <f>'RA-10'!X110</f>
        <v>#VALUE!</v>
      </c>
      <c r="F20" s="75" t="e">
        <f>'RA-10'!S110</f>
        <v>#DIV/0!</v>
      </c>
      <c r="G20" s="76" t="e">
        <f>'RA-10'!T110</f>
        <v>#DIV/0!</v>
      </c>
      <c r="H20" s="25"/>
      <c r="I20" s="28" t="s">
        <v>455</v>
      </c>
      <c r="J20" s="1" t="s">
        <v>462</v>
      </c>
    </row>
    <row r="21" spans="2:18" ht="12.75" customHeight="1" thickBot="1" x14ac:dyDescent="0.25">
      <c r="B21" s="79" t="str">
        <f t="shared" ref="B21" si="1">B9</f>
        <v>Class E</v>
      </c>
      <c r="C21" s="72"/>
      <c r="D21" s="73"/>
      <c r="E21" s="74"/>
      <c r="F21" s="75"/>
      <c r="G21" s="76"/>
      <c r="H21" s="25"/>
    </row>
    <row r="22" spans="2:18" ht="12.75" customHeight="1" thickBot="1" x14ac:dyDescent="0.25">
      <c r="B22" s="103" t="s">
        <v>380</v>
      </c>
      <c r="C22" s="67" t="e">
        <f>'RA-10'!V114</f>
        <v>#VALUE!</v>
      </c>
      <c r="D22" s="68" t="e">
        <f>'RA-10'!W114</f>
        <v>#VALUE!</v>
      </c>
      <c r="E22" s="69" t="e">
        <f>'RA-10'!X114</f>
        <v>#VALUE!</v>
      </c>
      <c r="F22" s="70" t="e">
        <f>'RA-10'!S114</f>
        <v>#DIV/0!</v>
      </c>
      <c r="G22" s="71" t="e">
        <f>'RA-10'!T114</f>
        <v>#DIV/0!</v>
      </c>
      <c r="H22" s="25"/>
      <c r="I22" s="28" t="s">
        <v>456</v>
      </c>
      <c r="J22" s="39" t="s">
        <v>461</v>
      </c>
      <c r="K22" s="39"/>
      <c r="L22" s="39"/>
      <c r="M22" s="39"/>
      <c r="N22" s="39"/>
      <c r="O22" s="39"/>
      <c r="P22" s="39"/>
      <c r="Q22" s="39"/>
      <c r="R22" s="39"/>
    </row>
    <row r="23" spans="2:18" ht="12.75" customHeight="1" x14ac:dyDescent="0.2">
      <c r="B23" s="78" t="str">
        <f>B11</f>
        <v>Class D</v>
      </c>
      <c r="C23" s="67" t="e">
        <f>'RA-10'!V111</f>
        <v>#VALUE!</v>
      </c>
      <c r="D23" s="68" t="e">
        <f>'RA-10'!W111</f>
        <v>#VALUE!</v>
      </c>
      <c r="E23" s="69" t="e">
        <f>'RA-10'!X111</f>
        <v>#VALUE!</v>
      </c>
      <c r="F23" s="81" t="e">
        <f>'RA-10'!S111</f>
        <v>#DIV/0!</v>
      </c>
      <c r="G23" s="71" t="e">
        <f>'RA-10'!T111</f>
        <v>#DIV/0!</v>
      </c>
      <c r="H23" s="25"/>
      <c r="J23" s="39"/>
      <c r="K23" s="39"/>
      <c r="L23" s="39"/>
      <c r="M23" s="39"/>
      <c r="N23" s="39"/>
      <c r="O23" s="39"/>
      <c r="P23" s="39"/>
      <c r="Q23" s="39"/>
      <c r="R23" s="39"/>
    </row>
    <row r="24" spans="2:18" ht="12.75" customHeight="1" thickBot="1" x14ac:dyDescent="0.25">
      <c r="B24" s="104" t="str">
        <f>B12</f>
        <v>Class F</v>
      </c>
      <c r="C24" s="106" t="e">
        <f>'RA-10'!V113</f>
        <v>#VALUE!</v>
      </c>
      <c r="D24" s="107" t="e">
        <f>'RA-10'!W113</f>
        <v>#VALUE!</v>
      </c>
      <c r="E24" s="110" t="e">
        <f>'RA-10'!X113</f>
        <v>#VALUE!</v>
      </c>
      <c r="F24" s="108" t="e">
        <f>'RA-10'!S113</f>
        <v>#DIV/0!</v>
      </c>
      <c r="G24" s="109" t="e">
        <f>'RA-10'!T113</f>
        <v>#DIV/0!</v>
      </c>
      <c r="H24" s="25"/>
      <c r="I24" s="111" t="s">
        <v>466</v>
      </c>
    </row>
    <row r="25" spans="2:18" ht="12.75" customHeight="1" thickBot="1" x14ac:dyDescent="0.25">
      <c r="C25" s="1"/>
      <c r="D25" s="1"/>
      <c r="E25" s="1"/>
      <c r="F25" s="1"/>
      <c r="G25" s="1"/>
    </row>
    <row r="26" spans="2:18" ht="12.75" customHeight="1" thickBot="1" x14ac:dyDescent="0.25">
      <c r="C26" s="115"/>
      <c r="D26" s="116"/>
      <c r="E26" s="118" t="s">
        <v>67</v>
      </c>
      <c r="F26" s="116"/>
      <c r="G26" s="117"/>
      <c r="I26" s="28" t="s">
        <v>467</v>
      </c>
      <c r="J26" s="1" t="s">
        <v>458</v>
      </c>
    </row>
    <row r="27" spans="2:18" ht="12.75" customHeight="1" x14ac:dyDescent="0.2">
      <c r="C27" s="112"/>
      <c r="D27" s="113"/>
      <c r="E27" s="113" t="str">
        <f>CONCATENATE("Over ", $J$3)</f>
        <v>Over VTM-5.0</v>
      </c>
      <c r="F27" s="113"/>
      <c r="G27" s="114"/>
    </row>
    <row r="28" spans="2:18" ht="12.75" customHeight="1" thickBot="1" x14ac:dyDescent="0.25">
      <c r="C28" s="62" t="s">
        <v>21</v>
      </c>
      <c r="D28" s="63" t="s">
        <v>22</v>
      </c>
      <c r="E28" s="64" t="s">
        <v>23</v>
      </c>
      <c r="F28" s="65" t="s">
        <v>39</v>
      </c>
      <c r="G28" s="66" t="s">
        <v>40</v>
      </c>
      <c r="I28" s="28" t="s">
        <v>457</v>
      </c>
      <c r="J28" s="1" t="s">
        <v>458</v>
      </c>
    </row>
    <row r="29" spans="2:18" ht="12.75" customHeight="1" x14ac:dyDescent="0.2">
      <c r="B29" s="78" t="str">
        <f>B5</f>
        <v>Class A1</v>
      </c>
      <c r="C29" s="67"/>
      <c r="D29" s="68"/>
      <c r="E29" s="69"/>
      <c r="F29" s="70"/>
      <c r="G29" s="71"/>
      <c r="H29" s="25"/>
      <c r="I29" s="28" t="s">
        <v>464</v>
      </c>
      <c r="J29" s="1" t="s">
        <v>458</v>
      </c>
    </row>
    <row r="30" spans="2:18" ht="12.75" customHeight="1" x14ac:dyDescent="0.2">
      <c r="B30" s="79" t="str">
        <f>B6</f>
        <v>Class A2</v>
      </c>
      <c r="C30" s="72"/>
      <c r="D30" s="73"/>
      <c r="E30" s="74"/>
      <c r="F30" s="75"/>
      <c r="G30" s="76"/>
      <c r="H30" s="25"/>
    </row>
    <row r="31" spans="2:18" ht="12.75" customHeight="1" x14ac:dyDescent="0.2">
      <c r="B31" s="79" t="str">
        <f>B7</f>
        <v>Class B</v>
      </c>
      <c r="C31" s="72" t="e">
        <f>'LDB-10'!V109</f>
        <v>#VALUE!</v>
      </c>
      <c r="D31" s="73" t="e">
        <f>'LDB-10'!W109</f>
        <v>#VALUE!</v>
      </c>
      <c r="E31" s="74" t="e">
        <f>'LDB-10'!X109</f>
        <v>#VALUE!</v>
      </c>
      <c r="F31" s="75" t="e">
        <f>'LDB-10'!S109</f>
        <v>#DIV/0!</v>
      </c>
      <c r="G31" s="76" t="e">
        <f>'LDB-10'!T109</f>
        <v>#DIV/0!</v>
      </c>
      <c r="H31" s="25"/>
      <c r="I31" s="28" t="s">
        <v>465</v>
      </c>
      <c r="J31" s="1" t="s">
        <v>460</v>
      </c>
    </row>
    <row r="32" spans="2:18" ht="12.75" customHeight="1" x14ac:dyDescent="0.2">
      <c r="B32" s="79" t="str">
        <f>B8</f>
        <v>Class C</v>
      </c>
      <c r="C32" s="72" t="e">
        <f>'LDB-10'!V110</f>
        <v>#VALUE!</v>
      </c>
      <c r="D32" s="73" t="e">
        <f>'LDB-10'!W110</f>
        <v>#VALUE!</v>
      </c>
      <c r="E32" s="74" t="e">
        <f>'LDB-10'!X110</f>
        <v>#VALUE!</v>
      </c>
      <c r="F32" s="75" t="e">
        <f>'LDB-10'!S110</f>
        <v>#DIV/0!</v>
      </c>
      <c r="G32" s="76" t="e">
        <f>'LDB-10'!T110</f>
        <v>#DIV/0!</v>
      </c>
      <c r="H32" s="25"/>
    </row>
    <row r="33" spans="2:10" ht="12.75" customHeight="1" thickBot="1" x14ac:dyDescent="0.25">
      <c r="B33" s="79" t="str">
        <f t="shared" ref="B33" si="2">B9</f>
        <v>Class E</v>
      </c>
      <c r="C33" s="72" t="e">
        <f>'LDB-10'!V112</f>
        <v>#VALUE!</v>
      </c>
      <c r="D33" s="73" t="e">
        <f>'LDB-10'!W112</f>
        <v>#VALUE!</v>
      </c>
      <c r="E33" s="74" t="e">
        <f>'LDB-10'!X112</f>
        <v>#VALUE!</v>
      </c>
      <c r="F33" s="75" t="e">
        <f>'LDB-10'!S112</f>
        <v>#NUM!</v>
      </c>
      <c r="G33" s="76" t="e">
        <f>'LDB-10'!T112</f>
        <v>#DIV/0!</v>
      </c>
      <c r="H33" s="25"/>
      <c r="I33" s="28"/>
      <c r="J33" s="40"/>
    </row>
    <row r="34" spans="2:10" ht="12.75" customHeight="1" thickBot="1" x14ac:dyDescent="0.25">
      <c r="B34" s="103" t="s">
        <v>380</v>
      </c>
      <c r="C34" s="67" t="e">
        <f>'LDB-10'!V114</f>
        <v>#VALUE!</v>
      </c>
      <c r="D34" s="68" t="e">
        <f>'LDB-10'!W114</f>
        <v>#VALUE!</v>
      </c>
      <c r="E34" s="69" t="e">
        <f>'LDB-10'!X114</f>
        <v>#VALUE!</v>
      </c>
      <c r="F34" s="70" t="e">
        <f>'LDB-10'!S114</f>
        <v>#DIV/0!</v>
      </c>
      <c r="G34" s="71" t="e">
        <f>'LDB-10'!T114</f>
        <v>#DIV/0!</v>
      </c>
      <c r="H34" s="25"/>
    </row>
    <row r="35" spans="2:10" ht="12.75" customHeight="1" x14ac:dyDescent="0.2">
      <c r="B35" s="105" t="str">
        <f>B11</f>
        <v>Class D</v>
      </c>
      <c r="C35" s="67" t="e">
        <f>'LDB-10'!V111</f>
        <v>#VALUE!</v>
      </c>
      <c r="D35" s="68" t="e">
        <f>'LDB-10'!W111</f>
        <v>#VALUE!</v>
      </c>
      <c r="E35" s="69" t="e">
        <f>'LDB-10'!X111</f>
        <v>#VALUE!</v>
      </c>
      <c r="F35" s="81" t="e">
        <f>'LDB-10'!S111</f>
        <v>#DIV/0!</v>
      </c>
      <c r="G35" s="71" t="e">
        <f>'LDB-10'!T111</f>
        <v>#DIV/0!</v>
      </c>
      <c r="H35" s="25"/>
    </row>
    <row r="36" spans="2:10" ht="12.75" customHeight="1" thickBot="1" x14ac:dyDescent="0.25">
      <c r="B36" s="62" t="str">
        <f>B12</f>
        <v>Class F</v>
      </c>
      <c r="C36" s="106" t="e">
        <f>'LDB-10'!V113</f>
        <v>#VALUE!</v>
      </c>
      <c r="D36" s="107" t="e">
        <f>'LDB-10'!W113</f>
        <v>#VALUE!</v>
      </c>
      <c r="E36" s="110" t="e">
        <f>'LDB-10'!X113</f>
        <v>#VALUE!</v>
      </c>
      <c r="F36" s="108" t="e">
        <f>'LDB-10'!S113</f>
        <v>#DIV/0!</v>
      </c>
      <c r="G36" s="109" t="e">
        <f>'LDB-10'!T113</f>
        <v>#DIV/0!</v>
      </c>
      <c r="H36" s="25"/>
    </row>
    <row r="37" spans="2:10" ht="12.75" customHeight="1" thickBot="1" x14ac:dyDescent="0.25">
      <c r="C37" s="1"/>
      <c r="D37" s="1"/>
      <c r="E37" s="1"/>
      <c r="F37" s="1"/>
      <c r="G37" s="1"/>
    </row>
    <row r="38" spans="2:10" ht="12.75" customHeight="1" thickBot="1" x14ac:dyDescent="0.25">
      <c r="C38" s="115"/>
      <c r="D38" s="116"/>
      <c r="E38" s="118" t="s">
        <v>68</v>
      </c>
      <c r="F38" s="116"/>
      <c r="G38" s="117"/>
    </row>
    <row r="39" spans="2:10" ht="12.75" customHeight="1" x14ac:dyDescent="0.2">
      <c r="C39" s="112"/>
      <c r="D39" s="113"/>
      <c r="E39" s="113" t="str">
        <f>CONCATENATE("Over ", $J$3)</f>
        <v>Over VTM-5.0</v>
      </c>
      <c r="F39" s="113"/>
      <c r="G39" s="114"/>
    </row>
    <row r="40" spans="2:10" ht="12.75" customHeight="1" thickBot="1" x14ac:dyDescent="0.25">
      <c r="C40" s="62" t="s">
        <v>21</v>
      </c>
      <c r="D40" s="63" t="s">
        <v>22</v>
      </c>
      <c r="E40" s="64" t="s">
        <v>23</v>
      </c>
      <c r="F40" s="65" t="s">
        <v>39</v>
      </c>
      <c r="G40" s="66" t="s">
        <v>40</v>
      </c>
      <c r="I40" s="28"/>
      <c r="J40" s="28"/>
    </row>
    <row r="41" spans="2:10" ht="12.75" customHeight="1" x14ac:dyDescent="0.2">
      <c r="B41" s="78" t="str">
        <f>B5</f>
        <v>Class A1</v>
      </c>
      <c r="C41" s="67"/>
      <c r="D41" s="68"/>
      <c r="E41" s="69"/>
      <c r="F41" s="70"/>
      <c r="G41" s="71"/>
    </row>
    <row r="42" spans="2:10" ht="12.75" customHeight="1" x14ac:dyDescent="0.2">
      <c r="B42" s="79" t="str">
        <f>B6</f>
        <v>Class A2</v>
      </c>
      <c r="C42" s="72"/>
      <c r="D42" s="73"/>
      <c r="E42" s="74"/>
      <c r="F42" s="75"/>
      <c r="G42" s="76"/>
    </row>
    <row r="43" spans="2:10" ht="12.75" customHeight="1" x14ac:dyDescent="0.2">
      <c r="B43" s="79" t="str">
        <f>B7</f>
        <v>Class B</v>
      </c>
      <c r="C43" s="72" t="e">
        <f>'LDP-10'!V109</f>
        <v>#VALUE!</v>
      </c>
      <c r="D43" s="73" t="e">
        <f>'LDP-10'!W109</f>
        <v>#VALUE!</v>
      </c>
      <c r="E43" s="74" t="e">
        <f>'LDP-10'!X109</f>
        <v>#VALUE!</v>
      </c>
      <c r="F43" s="75" t="e">
        <f>'LDP-10'!S109</f>
        <v>#DIV/0!</v>
      </c>
      <c r="G43" s="76" t="e">
        <f>'LDP-10'!T109</f>
        <v>#DIV/0!</v>
      </c>
    </row>
    <row r="44" spans="2:10" ht="12.75" customHeight="1" x14ac:dyDescent="0.2">
      <c r="B44" s="79" t="str">
        <f>B8</f>
        <v>Class C</v>
      </c>
      <c r="C44" s="72" t="e">
        <f>'LDP-10'!V110</f>
        <v>#VALUE!</v>
      </c>
      <c r="D44" s="73" t="e">
        <f>'LDP-10'!W110</f>
        <v>#VALUE!</v>
      </c>
      <c r="E44" s="74" t="e">
        <f>'LDP-10'!X110</f>
        <v>#VALUE!</v>
      </c>
      <c r="F44" s="75" t="e">
        <f>'LDP-10'!S110</f>
        <v>#DIV/0!</v>
      </c>
      <c r="G44" s="76" t="e">
        <f>'LDP-10'!T110</f>
        <v>#DIV/0!</v>
      </c>
    </row>
    <row r="45" spans="2:10" ht="12.75" customHeight="1" thickBot="1" x14ac:dyDescent="0.25">
      <c r="B45" s="79" t="str">
        <f t="shared" ref="B45" si="3">B9</f>
        <v>Class E</v>
      </c>
      <c r="C45" s="72" t="e">
        <f>'LDP-10'!V112</f>
        <v>#VALUE!</v>
      </c>
      <c r="D45" s="73" t="e">
        <f>'LDP-10'!W112</f>
        <v>#VALUE!</v>
      </c>
      <c r="E45" s="74" t="e">
        <f>'LDP-10'!X112</f>
        <v>#VALUE!</v>
      </c>
      <c r="F45" s="75" t="e">
        <f>'LDP-10'!S112</f>
        <v>#NUM!</v>
      </c>
      <c r="G45" s="76" t="e">
        <f>'LDP-10'!T112</f>
        <v>#DIV/0!</v>
      </c>
    </row>
    <row r="46" spans="2:10" ht="12.75" customHeight="1" thickBot="1" x14ac:dyDescent="0.25">
      <c r="B46" s="103" t="s">
        <v>380</v>
      </c>
      <c r="C46" s="67" t="e">
        <f>'LDP-10'!V114</f>
        <v>#VALUE!</v>
      </c>
      <c r="D46" s="68" t="e">
        <f>'LDP-10'!W114</f>
        <v>#VALUE!</v>
      </c>
      <c r="E46" s="69" t="e">
        <f>'LDP-10'!X114</f>
        <v>#VALUE!</v>
      </c>
      <c r="F46" s="70" t="e">
        <f>'LDP-10'!S114</f>
        <v>#DIV/0!</v>
      </c>
      <c r="G46" s="71" t="e">
        <f>'LDP-10'!T114</f>
        <v>#DIV/0!</v>
      </c>
    </row>
    <row r="47" spans="2:10" ht="12.75" customHeight="1" x14ac:dyDescent="0.2">
      <c r="B47" s="105" t="str">
        <f>B11</f>
        <v>Class D</v>
      </c>
      <c r="C47" s="67" t="e">
        <f>'LDP-10'!V111</f>
        <v>#VALUE!</v>
      </c>
      <c r="D47" s="68" t="e">
        <f>'LDP-10'!W111</f>
        <v>#VALUE!</v>
      </c>
      <c r="E47" s="69" t="e">
        <f>'LDP-10'!X111</f>
        <v>#VALUE!</v>
      </c>
      <c r="F47" s="81" t="e">
        <f>'LDP-10'!S111</f>
        <v>#DIV/0!</v>
      </c>
      <c r="G47" s="71" t="e">
        <f>'LDP-10'!T111</f>
        <v>#DIV/0!</v>
      </c>
    </row>
    <row r="48" spans="2:10" ht="12.75" customHeight="1" thickBot="1" x14ac:dyDescent="0.25">
      <c r="B48" s="62" t="str">
        <f>B12</f>
        <v>Class F</v>
      </c>
      <c r="C48" s="106" t="e">
        <f>'LDP-10'!V113</f>
        <v>#VALUE!</v>
      </c>
      <c r="D48" s="107" t="e">
        <f>'LDP-10'!W113</f>
        <v>#VALUE!</v>
      </c>
      <c r="E48" s="110" t="e">
        <f>'LDP-10'!X113</f>
        <v>#VALUE!</v>
      </c>
      <c r="F48" s="108" t="e">
        <f>'LDP-10'!S113</f>
        <v>#DIV/0!</v>
      </c>
      <c r="G48" s="109" t="e">
        <f>'LDP-10'!T113</f>
        <v>#DIV/0!</v>
      </c>
    </row>
  </sheetData>
  <phoneticPr fontId="1" type="noConversion"/>
  <conditionalFormatting sqref="C9:E9 C12:E12">
    <cfRule type="cellIs" dxfId="991" priority="339" stopIfTrue="1" operator="greaterThan">
      <formula>0.03</formula>
    </cfRule>
    <cfRule type="cellIs" dxfId="990" priority="340" stopIfTrue="1" operator="lessThan">
      <formula>-0.03</formula>
    </cfRule>
  </conditionalFormatting>
  <conditionalFormatting sqref="C10:E10">
    <cfRule type="cellIs" dxfId="989" priority="265" stopIfTrue="1" operator="greaterThan">
      <formula>0.03</formula>
    </cfRule>
    <cfRule type="cellIs" dxfId="988" priority="266" stopIfTrue="1" operator="lessThan">
      <formula>-0.03</formula>
    </cfRule>
  </conditionalFormatting>
  <conditionalFormatting sqref="C5:E5 C7:E8">
    <cfRule type="cellIs" dxfId="987" priority="263" stopIfTrue="1" operator="greaterThan">
      <formula>0.03</formula>
    </cfRule>
    <cfRule type="cellIs" dxfId="986" priority="264" stopIfTrue="1" operator="lessThan">
      <formula>-0.03</formula>
    </cfRule>
  </conditionalFormatting>
  <conditionalFormatting sqref="C6:E6">
    <cfRule type="cellIs" dxfId="985" priority="79" stopIfTrue="1" operator="greaterThan">
      <formula>0.03</formula>
    </cfRule>
    <cfRule type="cellIs" dxfId="984" priority="80" stopIfTrue="1" operator="lessThan">
      <formula>-0.03</formula>
    </cfRule>
  </conditionalFormatting>
  <conditionalFormatting sqref="C21:E21 C24:E24">
    <cfRule type="cellIs" dxfId="983" priority="63" stopIfTrue="1" operator="greaterThan">
      <formula>0.03</formula>
    </cfRule>
    <cfRule type="cellIs" dxfId="982" priority="64" stopIfTrue="1" operator="lessThan">
      <formula>-0.03</formula>
    </cfRule>
  </conditionalFormatting>
  <conditionalFormatting sqref="C22:E22">
    <cfRule type="cellIs" dxfId="981" priority="61" stopIfTrue="1" operator="greaterThan">
      <formula>0.03</formula>
    </cfRule>
    <cfRule type="cellIs" dxfId="980" priority="62" stopIfTrue="1" operator="lessThan">
      <formula>-0.03</formula>
    </cfRule>
  </conditionalFormatting>
  <conditionalFormatting sqref="C17:E17 C19:E20">
    <cfRule type="cellIs" dxfId="979" priority="59" stopIfTrue="1" operator="greaterThan">
      <formula>0.03</formula>
    </cfRule>
    <cfRule type="cellIs" dxfId="978" priority="60" stopIfTrue="1" operator="lessThan">
      <formula>-0.03</formula>
    </cfRule>
  </conditionalFormatting>
  <conditionalFormatting sqref="C18:E18">
    <cfRule type="cellIs" dxfId="977" priority="51" stopIfTrue="1" operator="greaterThan">
      <formula>0.03</formula>
    </cfRule>
    <cfRule type="cellIs" dxfId="976" priority="52" stopIfTrue="1" operator="lessThan">
      <formula>-0.03</formula>
    </cfRule>
  </conditionalFormatting>
  <conditionalFormatting sqref="C33:E33 C36:E36">
    <cfRule type="cellIs" dxfId="975" priority="47" stopIfTrue="1" operator="greaterThan">
      <formula>0.03</formula>
    </cfRule>
    <cfRule type="cellIs" dxfId="974" priority="48" stopIfTrue="1" operator="lessThan">
      <formula>-0.03</formula>
    </cfRule>
  </conditionalFormatting>
  <conditionalFormatting sqref="C34:E34">
    <cfRule type="cellIs" dxfId="973" priority="45" stopIfTrue="1" operator="greaterThan">
      <formula>0.03</formula>
    </cfRule>
    <cfRule type="cellIs" dxfId="972" priority="46" stopIfTrue="1" operator="lessThan">
      <formula>-0.03</formula>
    </cfRule>
  </conditionalFormatting>
  <conditionalFormatting sqref="C29:E29 C31:E32">
    <cfRule type="cellIs" dxfId="971" priority="43" stopIfTrue="1" operator="greaterThan">
      <formula>0.03</formula>
    </cfRule>
    <cfRule type="cellIs" dxfId="970" priority="44" stopIfTrue="1" operator="lessThan">
      <formula>-0.03</formula>
    </cfRule>
  </conditionalFormatting>
  <conditionalFormatting sqref="C30:E30">
    <cfRule type="cellIs" dxfId="969" priority="35" stopIfTrue="1" operator="greaterThan">
      <formula>0.03</formula>
    </cfRule>
    <cfRule type="cellIs" dxfId="968" priority="36" stopIfTrue="1" operator="lessThan">
      <formula>-0.03</formula>
    </cfRule>
  </conditionalFormatting>
  <conditionalFormatting sqref="C45:E45 C48:E48">
    <cfRule type="cellIs" dxfId="967" priority="31" stopIfTrue="1" operator="greaterThan">
      <formula>0.03</formula>
    </cfRule>
    <cfRule type="cellIs" dxfId="966" priority="32" stopIfTrue="1" operator="lessThan">
      <formula>-0.03</formula>
    </cfRule>
  </conditionalFormatting>
  <conditionalFormatting sqref="C46:E46">
    <cfRule type="cellIs" dxfId="965" priority="29" stopIfTrue="1" operator="greaterThan">
      <formula>0.03</formula>
    </cfRule>
    <cfRule type="cellIs" dxfId="964" priority="30" stopIfTrue="1" operator="lessThan">
      <formula>-0.03</formula>
    </cfRule>
  </conditionalFormatting>
  <conditionalFormatting sqref="C41:E41 C43:E44">
    <cfRule type="cellIs" dxfId="963" priority="27" stopIfTrue="1" operator="greaterThan">
      <formula>0.03</formula>
    </cfRule>
    <cfRule type="cellIs" dxfId="962" priority="28" stopIfTrue="1" operator="lessThan">
      <formula>-0.03</formula>
    </cfRule>
  </conditionalFormatting>
  <conditionalFormatting sqref="C42:E42">
    <cfRule type="cellIs" dxfId="961" priority="19" stopIfTrue="1" operator="greaterThan">
      <formula>0.03</formula>
    </cfRule>
    <cfRule type="cellIs" dxfId="960" priority="20" stopIfTrue="1" operator="lessThan">
      <formula>-0.03</formula>
    </cfRule>
  </conditionalFormatting>
  <conditionalFormatting sqref="C11:E11">
    <cfRule type="cellIs" dxfId="959" priority="15" stopIfTrue="1" operator="greaterThan">
      <formula>0.03</formula>
    </cfRule>
    <cfRule type="cellIs" dxfId="958" priority="16" stopIfTrue="1" operator="lessThan">
      <formula>-0.03</formula>
    </cfRule>
  </conditionalFormatting>
  <conditionalFormatting sqref="C23:E23">
    <cfRule type="cellIs" dxfId="957" priority="11" stopIfTrue="1" operator="greaterThan">
      <formula>0.03</formula>
    </cfRule>
    <cfRule type="cellIs" dxfId="956" priority="12" stopIfTrue="1" operator="lessThan">
      <formula>-0.03</formula>
    </cfRule>
  </conditionalFormatting>
  <conditionalFormatting sqref="C35:E35">
    <cfRule type="cellIs" dxfId="955" priority="7" stopIfTrue="1" operator="greaterThan">
      <formula>0.03</formula>
    </cfRule>
    <cfRule type="cellIs" dxfId="954" priority="8" stopIfTrue="1" operator="lessThan">
      <formula>-0.03</formula>
    </cfRule>
  </conditionalFormatting>
  <conditionalFormatting sqref="C47:E47">
    <cfRule type="cellIs" dxfId="953" priority="3" stopIfTrue="1" operator="greaterThan">
      <formula>0.03</formula>
    </cfRule>
    <cfRule type="cellIs" dxfId="952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L86"/>
  <sheetViews>
    <sheetView zoomScale="85" zoomScaleNormal="85" workbookViewId="0">
      <selection activeCell="B2" sqref="B2"/>
    </sheetView>
  </sheetViews>
  <sheetFormatPr defaultColWidth="8.88671875" defaultRowHeight="17.25" x14ac:dyDescent="0.3"/>
  <cols>
    <col min="2" max="2" width="21.33203125" customWidth="1"/>
    <col min="25" max="26" width="9" customWidth="1"/>
    <col min="27" max="27" width="16.33203125" style="30" bestFit="1" customWidth="1"/>
    <col min="28" max="39" width="9" customWidth="1"/>
  </cols>
  <sheetData>
    <row r="1" spans="1:38" ht="18" thickBot="1" x14ac:dyDescent="0.35">
      <c r="A1" t="s">
        <v>31</v>
      </c>
      <c r="AD1" t="s">
        <v>29</v>
      </c>
      <c r="AI1" t="s">
        <v>30</v>
      </c>
    </row>
    <row r="2" spans="1:38" ht="18" thickBot="1" x14ac:dyDescent="0.35">
      <c r="A2" s="29" t="s">
        <v>71</v>
      </c>
      <c r="B2" s="29" t="s">
        <v>60</v>
      </c>
      <c r="AD2" s="5" t="s">
        <v>14</v>
      </c>
      <c r="AE2" s="6" t="s">
        <v>15</v>
      </c>
      <c r="AF2" s="6" t="s">
        <v>16</v>
      </c>
      <c r="AG2" s="6" t="s">
        <v>17</v>
      </c>
      <c r="AI2" s="5" t="s">
        <v>14</v>
      </c>
      <c r="AJ2" s="6" t="s">
        <v>15</v>
      </c>
      <c r="AK2" s="6" t="s">
        <v>16</v>
      </c>
      <c r="AL2" s="6" t="s">
        <v>17</v>
      </c>
    </row>
    <row r="3" spans="1:38" x14ac:dyDescent="0.3">
      <c r="Z3" t="s">
        <v>71</v>
      </c>
      <c r="AA3" t="s">
        <v>381</v>
      </c>
      <c r="AB3">
        <v>3</v>
      </c>
      <c r="AC3">
        <f>VLOOKUP(B2,AA3:AB43,2,FALSE)</f>
        <v>91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</row>
    <row r="4" spans="1:38" x14ac:dyDescent="0.3">
      <c r="Z4" t="s">
        <v>72</v>
      </c>
      <c r="AA4" t="s">
        <v>382</v>
      </c>
      <c r="AB4">
        <f>AB3+4</f>
        <v>7</v>
      </c>
      <c r="AC4">
        <f>AC3+1</f>
        <v>92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</row>
    <row r="5" spans="1:38" x14ac:dyDescent="0.3">
      <c r="Z5" t="s">
        <v>73</v>
      </c>
      <c r="AA5" t="s">
        <v>450</v>
      </c>
      <c r="AB5">
        <f t="shared" ref="AB5:AB28" si="0">AB4+4</f>
        <v>11</v>
      </c>
      <c r="AC5">
        <f>AC4+1</f>
        <v>93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</row>
    <row r="6" spans="1:38" x14ac:dyDescent="0.3">
      <c r="Z6" t="s">
        <v>74</v>
      </c>
      <c r="AA6" t="s">
        <v>514</v>
      </c>
      <c r="AB6">
        <f t="shared" si="0"/>
        <v>15</v>
      </c>
      <c r="AC6">
        <f>AC5+1</f>
        <v>94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</row>
    <row r="7" spans="1:38" x14ac:dyDescent="0.3">
      <c r="AA7" t="s">
        <v>383</v>
      </c>
      <c r="AB7">
        <f t="shared" si="0"/>
        <v>19</v>
      </c>
    </row>
    <row r="8" spans="1:38" x14ac:dyDescent="0.3">
      <c r="AA8" t="s">
        <v>384</v>
      </c>
      <c r="AB8">
        <f t="shared" si="0"/>
        <v>23</v>
      </c>
      <c r="AD8" t="str">
        <f>"Sequence: "&amp;B2 &amp; "     Coding Conditions: " &amp; A2</f>
        <v>Sequence: BasketballDrillText     Coding Conditions: AI-10</v>
      </c>
    </row>
    <row r="9" spans="1:38" x14ac:dyDescent="0.3">
      <c r="AA9" t="s">
        <v>386</v>
      </c>
      <c r="AB9">
        <f t="shared" si="0"/>
        <v>27</v>
      </c>
    </row>
    <row r="10" spans="1:38" x14ac:dyDescent="0.3">
      <c r="AA10" t="s">
        <v>385</v>
      </c>
      <c r="AB10">
        <f t="shared" si="0"/>
        <v>31</v>
      </c>
    </row>
    <row r="11" spans="1:38" x14ac:dyDescent="0.3">
      <c r="AA11" t="s">
        <v>2</v>
      </c>
      <c r="AB11">
        <f t="shared" si="0"/>
        <v>35</v>
      </c>
      <c r="AD11" t="s">
        <v>32</v>
      </c>
      <c r="AE11" t="s">
        <v>33</v>
      </c>
      <c r="AF11" t="s">
        <v>34</v>
      </c>
      <c r="AG11" t="s">
        <v>35</v>
      </c>
    </row>
    <row r="12" spans="1:38" x14ac:dyDescent="0.3">
      <c r="AA12" t="s">
        <v>3</v>
      </c>
      <c r="AB12">
        <f t="shared" si="0"/>
        <v>39</v>
      </c>
      <c r="AD12" s="31">
        <f ca="1">MAX(AD3:AD6,AI3:AI6)</f>
        <v>0</v>
      </c>
      <c r="AE12" s="31">
        <f ca="1">MAX(AE3:AE6,AJ3:AJ6)</f>
        <v>0</v>
      </c>
      <c r="AF12" s="31">
        <f ca="1">MAX(AF3:AF6,AK3:AK6)</f>
        <v>0</v>
      </c>
      <c r="AG12" s="31">
        <f ca="1">MAX(AG3:AG6,AL3:AL6)</f>
        <v>0</v>
      </c>
    </row>
    <row r="13" spans="1:38" x14ac:dyDescent="0.3">
      <c r="AA13" t="s">
        <v>4</v>
      </c>
      <c r="AB13">
        <f t="shared" si="0"/>
        <v>43</v>
      </c>
      <c r="AD13" s="31">
        <f ca="1">MIN(AD3:AD6,AI3:AI6)</f>
        <v>0</v>
      </c>
      <c r="AE13" s="31">
        <f ca="1">MIN(AE3:AE6,AJ3:AJ6)</f>
        <v>0</v>
      </c>
      <c r="AF13" s="31">
        <f ca="1">MIN(AF3:AF6,AK3:AK6)</f>
        <v>0</v>
      </c>
      <c r="AG13" s="31">
        <f ca="1">MIN(AG3:AG6,AL3:AL6)</f>
        <v>0</v>
      </c>
    </row>
    <row r="14" spans="1:38" x14ac:dyDescent="0.3">
      <c r="AA14" t="s">
        <v>51</v>
      </c>
      <c r="AB14">
        <f t="shared" si="0"/>
        <v>47</v>
      </c>
      <c r="AD14" s="32"/>
      <c r="AE14" s="32"/>
      <c r="AF14" s="32"/>
      <c r="AG14" s="32"/>
    </row>
    <row r="15" spans="1:38" x14ac:dyDescent="0.3">
      <c r="AA15" t="s">
        <v>36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38" x14ac:dyDescent="0.3">
      <c r="AA16" t="s">
        <v>41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3">
      <c r="AA17" t="s">
        <v>42</v>
      </c>
      <c r="AB17">
        <f t="shared" si="0"/>
        <v>59</v>
      </c>
    </row>
    <row r="18" spans="27:28" x14ac:dyDescent="0.3">
      <c r="AA18" t="s">
        <v>54</v>
      </c>
      <c r="AB18">
        <f t="shared" si="0"/>
        <v>63</v>
      </c>
    </row>
    <row r="19" spans="27:28" x14ac:dyDescent="0.3">
      <c r="AA19" t="s">
        <v>55</v>
      </c>
      <c r="AB19">
        <f t="shared" si="0"/>
        <v>67</v>
      </c>
    </row>
    <row r="20" spans="27:28" x14ac:dyDescent="0.3">
      <c r="AA20" t="s">
        <v>56</v>
      </c>
      <c r="AB20">
        <f t="shared" si="0"/>
        <v>71</v>
      </c>
    </row>
    <row r="21" spans="27:28" x14ac:dyDescent="0.3">
      <c r="AA21" t="s">
        <v>53</v>
      </c>
      <c r="AB21">
        <f t="shared" si="0"/>
        <v>75</v>
      </c>
    </row>
    <row r="22" spans="27:28" x14ac:dyDescent="0.3">
      <c r="AA22" t="s">
        <v>57</v>
      </c>
      <c r="AB22">
        <f t="shared" si="0"/>
        <v>79</v>
      </c>
    </row>
    <row r="23" spans="27:28" x14ac:dyDescent="0.3">
      <c r="AA23" t="s">
        <v>58</v>
      </c>
      <c r="AB23">
        <f t="shared" si="0"/>
        <v>83</v>
      </c>
    </row>
    <row r="24" spans="27:28" x14ac:dyDescent="0.3">
      <c r="AA24" t="s">
        <v>59</v>
      </c>
      <c r="AB24">
        <f t="shared" si="0"/>
        <v>87</v>
      </c>
    </row>
    <row r="25" spans="27:28" x14ac:dyDescent="0.3">
      <c r="AA25" t="s">
        <v>60</v>
      </c>
      <c r="AB25">
        <f t="shared" si="0"/>
        <v>91</v>
      </c>
    </row>
    <row r="26" spans="27:28" x14ac:dyDescent="0.3">
      <c r="AA26" t="s">
        <v>468</v>
      </c>
      <c r="AB26">
        <f t="shared" si="0"/>
        <v>95</v>
      </c>
    </row>
    <row r="27" spans="27:28" x14ac:dyDescent="0.3">
      <c r="AA27" t="s">
        <v>61</v>
      </c>
      <c r="AB27">
        <f t="shared" si="0"/>
        <v>99</v>
      </c>
    </row>
    <row r="28" spans="27:28" x14ac:dyDescent="0.3">
      <c r="AA28" t="s">
        <v>62</v>
      </c>
      <c r="AB28">
        <f t="shared" si="0"/>
        <v>103</v>
      </c>
    </row>
    <row r="29" spans="27:28" x14ac:dyDescent="0.3">
      <c r="AA29"/>
    </row>
    <row r="30" spans="27:28" x14ac:dyDescent="0.3">
      <c r="AA30"/>
    </row>
    <row r="31" spans="27:28" x14ac:dyDescent="0.3">
      <c r="AA31"/>
    </row>
    <row r="32" spans="27:28" x14ac:dyDescent="0.3">
      <c r="AA32"/>
    </row>
    <row r="33" spans="27:27" x14ac:dyDescent="0.3">
      <c r="AA33" s="20"/>
    </row>
    <row r="34" spans="27:27" x14ac:dyDescent="0.3">
      <c r="AA34" s="20"/>
    </row>
    <row r="35" spans="27:27" x14ac:dyDescent="0.3">
      <c r="AA35" s="20"/>
    </row>
    <row r="36" spans="27:27" x14ac:dyDescent="0.3">
      <c r="AA36" s="20"/>
    </row>
    <row r="37" spans="27:27" x14ac:dyDescent="0.3">
      <c r="AA37" s="20"/>
    </row>
    <row r="38" spans="27:27" x14ac:dyDescent="0.3">
      <c r="AA38" s="20"/>
    </row>
    <row r="39" spans="27:27" x14ac:dyDescent="0.3">
      <c r="AA39" s="20"/>
    </row>
    <row r="40" spans="27:27" x14ac:dyDescent="0.3">
      <c r="AA40" s="20"/>
    </row>
    <row r="41" spans="27:27" x14ac:dyDescent="0.3">
      <c r="AA41" s="20"/>
    </row>
    <row r="42" spans="27:27" x14ac:dyDescent="0.3">
      <c r="AA42" s="20"/>
    </row>
    <row r="43" spans="27:27" x14ac:dyDescent="0.3">
      <c r="AA43" s="20"/>
    </row>
    <row r="44" spans="27:27" x14ac:dyDescent="0.3">
      <c r="AA44" s="20"/>
    </row>
    <row r="45" spans="27:27" x14ac:dyDescent="0.3">
      <c r="AA45" s="20"/>
    </row>
    <row r="46" spans="27:27" x14ac:dyDescent="0.3">
      <c r="AA46" s="20"/>
    </row>
    <row r="47" spans="27:27" x14ac:dyDescent="0.3">
      <c r="AA47" s="20"/>
    </row>
    <row r="48" spans="27:27" x14ac:dyDescent="0.3">
      <c r="AA48" s="20"/>
    </row>
    <row r="49" spans="27:27" x14ac:dyDescent="0.3">
      <c r="AA49" s="20"/>
    </row>
    <row r="50" spans="27:27" x14ac:dyDescent="0.3">
      <c r="AA50" s="20"/>
    </row>
    <row r="51" spans="27:27" x14ac:dyDescent="0.3">
      <c r="AA51" s="20"/>
    </row>
    <row r="52" spans="27:27" x14ac:dyDescent="0.3">
      <c r="AA52" s="20"/>
    </row>
    <row r="53" spans="27:27" x14ac:dyDescent="0.3">
      <c r="AA53" s="20"/>
    </row>
    <row r="54" spans="27:27" x14ac:dyDescent="0.3">
      <c r="AA54" s="20"/>
    </row>
    <row r="55" spans="27:27" x14ac:dyDescent="0.3">
      <c r="AA55" s="20"/>
    </row>
    <row r="56" spans="27:27" x14ac:dyDescent="0.3">
      <c r="AA56" s="20"/>
    </row>
    <row r="57" spans="27:27" x14ac:dyDescent="0.3">
      <c r="AA57" s="20"/>
    </row>
    <row r="58" spans="27:27" x14ac:dyDescent="0.3">
      <c r="AA58" s="20"/>
    </row>
    <row r="59" spans="27:27" x14ac:dyDescent="0.3">
      <c r="AA59" s="20"/>
    </row>
    <row r="60" spans="27:27" x14ac:dyDescent="0.3">
      <c r="AA60" s="20"/>
    </row>
    <row r="61" spans="27:27" x14ac:dyDescent="0.3">
      <c r="AA61" s="20"/>
    </row>
    <row r="62" spans="27:27" x14ac:dyDescent="0.3">
      <c r="AA62" s="20"/>
    </row>
    <row r="63" spans="27:27" x14ac:dyDescent="0.3">
      <c r="AA63" s="20"/>
    </row>
    <row r="64" spans="27:27" x14ac:dyDescent="0.3">
      <c r="AA64" s="20"/>
    </row>
    <row r="65" spans="27:27" x14ac:dyDescent="0.3">
      <c r="AA65" s="20"/>
    </row>
    <row r="66" spans="27:27" x14ac:dyDescent="0.3">
      <c r="AA66" s="20"/>
    </row>
    <row r="67" spans="27:27" x14ac:dyDescent="0.3">
      <c r="AA67" s="20"/>
    </row>
    <row r="68" spans="27:27" x14ac:dyDescent="0.3">
      <c r="AA68" s="20"/>
    </row>
    <row r="69" spans="27:27" x14ac:dyDescent="0.3">
      <c r="AA69" s="20"/>
    </row>
    <row r="70" spans="27:27" x14ac:dyDescent="0.3">
      <c r="AA70" s="20"/>
    </row>
    <row r="71" spans="27:27" x14ac:dyDescent="0.3">
      <c r="AA71" s="20"/>
    </row>
    <row r="72" spans="27:27" x14ac:dyDescent="0.3">
      <c r="AA72" s="20"/>
    </row>
    <row r="73" spans="27:27" x14ac:dyDescent="0.3">
      <c r="AA73" s="20"/>
    </row>
    <row r="74" spans="27:27" x14ac:dyDescent="0.3">
      <c r="AA74" s="20"/>
    </row>
    <row r="75" spans="27:27" x14ac:dyDescent="0.3">
      <c r="AA75" s="20"/>
    </row>
    <row r="76" spans="27:27" x14ac:dyDescent="0.3">
      <c r="AA76" s="20"/>
    </row>
    <row r="77" spans="27:27" x14ac:dyDescent="0.3">
      <c r="AA77" s="20"/>
    </row>
    <row r="78" spans="27:27" x14ac:dyDescent="0.3">
      <c r="AA78" s="20"/>
    </row>
    <row r="79" spans="27:27" x14ac:dyDescent="0.3">
      <c r="AA79" s="20"/>
    </row>
    <row r="80" spans="27:27" x14ac:dyDescent="0.3">
      <c r="AA80" s="20"/>
    </row>
    <row r="81" spans="27:27" x14ac:dyDescent="0.3">
      <c r="AA81" s="20"/>
    </row>
    <row r="82" spans="27:27" x14ac:dyDescent="0.3">
      <c r="AA82" s="20"/>
    </row>
    <row r="83" spans="27:27" x14ac:dyDescent="0.3">
      <c r="AA83" s="20"/>
    </row>
    <row r="84" spans="27:27" x14ac:dyDescent="0.3">
      <c r="AA84" s="20"/>
    </row>
    <row r="85" spans="27:27" x14ac:dyDescent="0.3">
      <c r="AA85" s="20"/>
    </row>
    <row r="86" spans="27:27" x14ac:dyDescent="0.3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100-000000000000}">
      <formula1>$Z$3:$Z$14</formula1>
    </dataValidation>
    <dataValidation type="list" allowBlank="1" showInputMessage="1" showErrorMessage="1" sqref="B2" xr:uid="{00000000-0002-0000-0100-000001000000}">
      <formula1>$AA$3:$AA$43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A137"/>
  <sheetViews>
    <sheetView workbookViewId="0">
      <selection activeCell="I99" sqref="I99"/>
    </sheetView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63</v>
      </c>
      <c r="T2" s="7" t="s">
        <v>64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>
        <f>Reference!B1</f>
        <v>0</v>
      </c>
      <c r="E3" s="13">
        <f>Reference!C1</f>
        <v>0</v>
      </c>
      <c r="F3" s="13">
        <f>Reference!D1</f>
        <v>0</v>
      </c>
      <c r="G3" s="13">
        <f>Reference!E1</f>
        <v>0</v>
      </c>
      <c r="H3" s="13">
        <f>Reference!F1</f>
        <v>0</v>
      </c>
      <c r="I3" s="13">
        <f>Reference!G1</f>
        <v>0</v>
      </c>
      <c r="J3" s="14">
        <f>H3/3600</f>
        <v>0</v>
      </c>
      <c r="L3" s="12">
        <f>Test!B1</f>
        <v>0</v>
      </c>
      <c r="M3" s="13">
        <f>Test!C1</f>
        <v>0</v>
      </c>
      <c r="N3" s="13">
        <f>Test!D1</f>
        <v>0</v>
      </c>
      <c r="O3" s="13">
        <f>Test!E1</f>
        <v>0</v>
      </c>
      <c r="P3" s="13">
        <f>Test!F1</f>
        <v>0</v>
      </c>
      <c r="Q3" s="13">
        <f>Test!G1</f>
        <v>0</v>
      </c>
      <c r="R3" s="14">
        <f>P3/3600</f>
        <v>0</v>
      </c>
      <c r="S3" s="13" t="e">
        <f>P3/H3</f>
        <v>#DIV/0!</v>
      </c>
      <c r="T3" s="13" t="e">
        <f>Q3/I3</f>
        <v>#DIV/0!</v>
      </c>
      <c r="U3" s="58"/>
      <c r="V3" s="41" t="e">
        <f>bdrate($D3:$D6,E3:E6,$L3:$L6,M3:M6)</f>
        <v>#VALUE!</v>
      </c>
      <c r="W3" s="46" t="e">
        <f>bdrate($D3:$D6,F3:F6,$L3:$L6,N3:N6)</f>
        <v>#VALUE!</v>
      </c>
      <c r="X3" s="47" t="e">
        <f>bdrate($D3:$D6,G3:G6,$L3:$L6,O3:O6)</f>
        <v>#VALUE!</v>
      </c>
      <c r="Y3" s="41" t="e">
        <f>bdrateOld($D3:$D6,E3:E6,$L3:$L6,M3:M6)</f>
        <v>#VALUE!</v>
      </c>
      <c r="Z3" s="46" t="e">
        <f>bdrateOld($D3:$D6,F3:F6,$L3:$L6,N3:N6)</f>
        <v>#VALUE!</v>
      </c>
      <c r="AA3" s="47" t="e">
        <f>bdrateOld($D3:$D6,G3:G6,$L3:$L6,O3:O6)</f>
        <v>#VALUE!</v>
      </c>
    </row>
    <row r="4" spans="1:27" x14ac:dyDescent="0.2">
      <c r="A4" s="16" t="s">
        <v>44</v>
      </c>
      <c r="B4" s="16"/>
      <c r="C4" s="16">
        <v>27</v>
      </c>
      <c r="D4" s="17">
        <f>Reference!B2</f>
        <v>0</v>
      </c>
      <c r="E4" s="18">
        <f>Reference!C2</f>
        <v>0</v>
      </c>
      <c r="F4" s="18">
        <f>Reference!D2</f>
        <v>0</v>
      </c>
      <c r="G4" s="18">
        <f>Reference!E2</f>
        <v>0</v>
      </c>
      <c r="H4" s="18">
        <f>Reference!F2</f>
        <v>0</v>
      </c>
      <c r="I4" s="18">
        <f>Reference!G2</f>
        <v>0</v>
      </c>
      <c r="J4" s="19">
        <f>H4/3600</f>
        <v>0</v>
      </c>
      <c r="L4" s="17">
        <f>Test!B2</f>
        <v>0</v>
      </c>
      <c r="M4" s="18">
        <f>Test!C2</f>
        <v>0</v>
      </c>
      <c r="N4" s="18">
        <f>Test!D2</f>
        <v>0</v>
      </c>
      <c r="O4" s="18">
        <f>Test!E2</f>
        <v>0</v>
      </c>
      <c r="P4" s="18">
        <f>Test!F2</f>
        <v>0</v>
      </c>
      <c r="Q4" s="18">
        <f>Test!G2</f>
        <v>0</v>
      </c>
      <c r="R4" s="19">
        <f t="shared" ref="R4:R14" si="0">P4/3600</f>
        <v>0</v>
      </c>
      <c r="S4" s="18" t="e">
        <f t="shared" ref="S4:T14" si="1">P4/H4</f>
        <v>#DIV/0!</v>
      </c>
      <c r="T4" s="18" t="e">
        <f t="shared" si="1"/>
        <v>#DIV/0!</v>
      </c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>
        <f>Reference!B3</f>
        <v>0</v>
      </c>
      <c r="E5" s="18">
        <f>Reference!C3</f>
        <v>0</v>
      </c>
      <c r="F5" s="18">
        <f>Reference!D3</f>
        <v>0</v>
      </c>
      <c r="G5" s="18">
        <f>Reference!E3</f>
        <v>0</v>
      </c>
      <c r="H5" s="18">
        <f>Reference!F3</f>
        <v>0</v>
      </c>
      <c r="I5" s="18">
        <f>Reference!G3</f>
        <v>0</v>
      </c>
      <c r="J5" s="19">
        <f t="shared" ref="J5:J14" si="2">H5/3600</f>
        <v>0</v>
      </c>
      <c r="L5" s="17">
        <f>Test!B3</f>
        <v>0</v>
      </c>
      <c r="M5" s="18">
        <f>Test!C3</f>
        <v>0</v>
      </c>
      <c r="N5" s="18">
        <f>Test!D3</f>
        <v>0</v>
      </c>
      <c r="O5" s="18">
        <f>Test!E3</f>
        <v>0</v>
      </c>
      <c r="P5" s="18">
        <f>Test!F3</f>
        <v>0</v>
      </c>
      <c r="Q5" s="18">
        <f>Test!G3</f>
        <v>0</v>
      </c>
      <c r="R5" s="19">
        <f t="shared" si="0"/>
        <v>0</v>
      </c>
      <c r="S5" s="18" t="e">
        <f t="shared" si="1"/>
        <v>#DIV/0!</v>
      </c>
      <c r="T5" s="18" t="e">
        <f t="shared" si="1"/>
        <v>#DIV/0!</v>
      </c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>
        <f>Reference!B4</f>
        <v>0</v>
      </c>
      <c r="E6" s="23">
        <f>Reference!C4</f>
        <v>0</v>
      </c>
      <c r="F6" s="23">
        <f>Reference!D4</f>
        <v>0</v>
      </c>
      <c r="G6" s="23">
        <f>Reference!E4</f>
        <v>0</v>
      </c>
      <c r="H6" s="23">
        <f>Reference!F4</f>
        <v>0</v>
      </c>
      <c r="I6" s="23">
        <f>Reference!G4</f>
        <v>0</v>
      </c>
      <c r="J6" s="24">
        <f t="shared" si="2"/>
        <v>0</v>
      </c>
      <c r="L6" s="22">
        <f>Test!B4</f>
        <v>0</v>
      </c>
      <c r="M6" s="23">
        <f>Test!C4</f>
        <v>0</v>
      </c>
      <c r="N6" s="23">
        <f>Test!D4</f>
        <v>0</v>
      </c>
      <c r="O6" s="23">
        <f>Test!E4</f>
        <v>0</v>
      </c>
      <c r="P6" s="23">
        <f>Test!F4</f>
        <v>0</v>
      </c>
      <c r="Q6" s="23">
        <f>Test!G4</f>
        <v>0</v>
      </c>
      <c r="R6" s="24">
        <f t="shared" si="0"/>
        <v>0</v>
      </c>
      <c r="S6" s="18" t="e">
        <f t="shared" si="1"/>
        <v>#DIV/0!</v>
      </c>
      <c r="T6" s="18" t="e">
        <f t="shared" si="1"/>
        <v>#DIV/0!</v>
      </c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>
        <f>Reference!B5</f>
        <v>0</v>
      </c>
      <c r="E7" s="13">
        <f>Reference!C5</f>
        <v>0</v>
      </c>
      <c r="F7" s="13">
        <f>Reference!D5</f>
        <v>0</v>
      </c>
      <c r="G7" s="13">
        <f>Reference!E5</f>
        <v>0</v>
      </c>
      <c r="H7" s="13">
        <f>Reference!F5</f>
        <v>0</v>
      </c>
      <c r="I7" s="13">
        <f>Reference!G5</f>
        <v>0</v>
      </c>
      <c r="J7" s="14">
        <f t="shared" si="2"/>
        <v>0</v>
      </c>
      <c r="L7" s="12">
        <f>Test!B5</f>
        <v>0</v>
      </c>
      <c r="M7" s="13">
        <f>Test!C5</f>
        <v>0</v>
      </c>
      <c r="N7" s="13">
        <f>Test!D5</f>
        <v>0</v>
      </c>
      <c r="O7" s="13">
        <f>Test!E5</f>
        <v>0</v>
      </c>
      <c r="P7" s="13">
        <f>Test!F5</f>
        <v>0</v>
      </c>
      <c r="Q7" s="13">
        <f>Test!G5</f>
        <v>0</v>
      </c>
      <c r="R7" s="14">
        <f t="shared" si="0"/>
        <v>0</v>
      </c>
      <c r="S7" s="18" t="e">
        <f t="shared" si="1"/>
        <v>#DIV/0!</v>
      </c>
      <c r="T7" s="18" t="e">
        <f t="shared" si="1"/>
        <v>#DIV/0!</v>
      </c>
      <c r="U7" s="59"/>
      <c r="V7" s="41" t="e">
        <f>bdrate($D7:$D10,E7:E10,$L7:$L10,M7:M10)</f>
        <v>#VALUE!</v>
      </c>
      <c r="W7" s="46" t="e">
        <f>bdrate($D7:$D10,F7:F10,$L7:$L10,N7:N10)</f>
        <v>#VALUE!</v>
      </c>
      <c r="X7" s="46" t="e">
        <f>bdrate($D7:$D10,G7:G10,$L7:$L10,O7:O10)</f>
        <v>#VALUE!</v>
      </c>
      <c r="Y7" s="44" t="e">
        <f>bdrateOld($D7:$D10,E7:E10,$L7:$L10,M7:M10)</f>
        <v>#VALUE!</v>
      </c>
      <c r="Z7" s="48" t="e">
        <f>bdrateOld($D7:$D10,F7:F10,$L7:$L10,N7:N10)</f>
        <v>#VALUE!</v>
      </c>
      <c r="AA7" s="49" t="e">
        <f>bdrateOld($D7:$D10,G7:G10,$L7:$L10,O7:O10)</f>
        <v>#VALUE!</v>
      </c>
    </row>
    <row r="8" spans="1:27" x14ac:dyDescent="0.2">
      <c r="A8" s="16"/>
      <c r="B8" s="16"/>
      <c r="C8" s="16">
        <v>27</v>
      </c>
      <c r="D8" s="17">
        <f>Reference!B6</f>
        <v>0</v>
      </c>
      <c r="E8" s="18">
        <f>Reference!C6</f>
        <v>0</v>
      </c>
      <c r="F8" s="18">
        <f>Reference!D6</f>
        <v>0</v>
      </c>
      <c r="G8" s="18">
        <f>Reference!E6</f>
        <v>0</v>
      </c>
      <c r="H8" s="18">
        <f>Reference!F6</f>
        <v>0</v>
      </c>
      <c r="I8" s="18">
        <f>Reference!G6</f>
        <v>0</v>
      </c>
      <c r="J8" s="19">
        <f t="shared" si="2"/>
        <v>0</v>
      </c>
      <c r="L8" s="17">
        <f>Test!B6</f>
        <v>0</v>
      </c>
      <c r="M8" s="18">
        <f>Test!C6</f>
        <v>0</v>
      </c>
      <c r="N8" s="18">
        <f>Test!D6</f>
        <v>0</v>
      </c>
      <c r="O8" s="18">
        <f>Test!E6</f>
        <v>0</v>
      </c>
      <c r="P8" s="18">
        <f>Test!F6</f>
        <v>0</v>
      </c>
      <c r="Q8" s="18">
        <f>Test!G6</f>
        <v>0</v>
      </c>
      <c r="R8" s="19">
        <f t="shared" si="0"/>
        <v>0</v>
      </c>
      <c r="S8" s="18" t="e">
        <f t="shared" si="1"/>
        <v>#DIV/0!</v>
      </c>
      <c r="T8" s="18" t="e">
        <f t="shared" si="1"/>
        <v>#DIV/0!</v>
      </c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>
        <f>Reference!B7</f>
        <v>0</v>
      </c>
      <c r="E9" s="18">
        <f>Reference!C7</f>
        <v>0</v>
      </c>
      <c r="F9" s="18">
        <f>Reference!D7</f>
        <v>0</v>
      </c>
      <c r="G9" s="18">
        <f>Reference!E7</f>
        <v>0</v>
      </c>
      <c r="H9" s="18">
        <f>Reference!F7</f>
        <v>0</v>
      </c>
      <c r="I9" s="18">
        <f>Reference!G7</f>
        <v>0</v>
      </c>
      <c r="J9" s="19">
        <f t="shared" si="2"/>
        <v>0</v>
      </c>
      <c r="L9" s="17">
        <f>Test!B7</f>
        <v>0</v>
      </c>
      <c r="M9" s="18">
        <f>Test!C7</f>
        <v>0</v>
      </c>
      <c r="N9" s="18">
        <f>Test!D7</f>
        <v>0</v>
      </c>
      <c r="O9" s="18">
        <f>Test!E7</f>
        <v>0</v>
      </c>
      <c r="P9" s="18">
        <f>Test!F7</f>
        <v>0</v>
      </c>
      <c r="Q9" s="18">
        <f>Test!G7</f>
        <v>0</v>
      </c>
      <c r="R9" s="19">
        <f t="shared" si="0"/>
        <v>0</v>
      </c>
      <c r="S9" s="18" t="e">
        <f t="shared" si="1"/>
        <v>#DIV/0!</v>
      </c>
      <c r="T9" s="18" t="e">
        <f t="shared" si="1"/>
        <v>#DIV/0!</v>
      </c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>
        <f>Reference!B8</f>
        <v>0</v>
      </c>
      <c r="E10" s="23">
        <f>Reference!C8</f>
        <v>0</v>
      </c>
      <c r="F10" s="23">
        <f>Reference!D8</f>
        <v>0</v>
      </c>
      <c r="G10" s="23">
        <f>Reference!E8</f>
        <v>0</v>
      </c>
      <c r="H10" s="23">
        <f>Reference!F8</f>
        <v>0</v>
      </c>
      <c r="I10" s="23">
        <f>Reference!G8</f>
        <v>0</v>
      </c>
      <c r="J10" s="24">
        <f t="shared" si="2"/>
        <v>0</v>
      </c>
      <c r="L10" s="22">
        <f>Test!B8</f>
        <v>0</v>
      </c>
      <c r="M10" s="23">
        <f>Test!C8</f>
        <v>0</v>
      </c>
      <c r="N10" s="23">
        <f>Test!D8</f>
        <v>0</v>
      </c>
      <c r="O10" s="23">
        <f>Test!E8</f>
        <v>0</v>
      </c>
      <c r="P10" s="23">
        <f>Test!F8</f>
        <v>0</v>
      </c>
      <c r="Q10" s="23">
        <f>Test!G8</f>
        <v>0</v>
      </c>
      <c r="R10" s="24">
        <f t="shared" si="0"/>
        <v>0</v>
      </c>
      <c r="S10" s="18" t="e">
        <f t="shared" si="1"/>
        <v>#DIV/0!</v>
      </c>
      <c r="T10" s="18" t="e">
        <f t="shared" si="1"/>
        <v>#DIV/0!</v>
      </c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>
        <f>Reference!B9</f>
        <v>0</v>
      </c>
      <c r="E11" s="13">
        <f>Reference!C9</f>
        <v>0</v>
      </c>
      <c r="F11" s="13">
        <f>Reference!D9</f>
        <v>0</v>
      </c>
      <c r="G11" s="13">
        <f>Reference!E9</f>
        <v>0</v>
      </c>
      <c r="H11" s="13">
        <f>Reference!F9</f>
        <v>0</v>
      </c>
      <c r="I11" s="13">
        <f>Reference!G9</f>
        <v>0</v>
      </c>
      <c r="J11" s="14">
        <f t="shared" si="2"/>
        <v>0</v>
      </c>
      <c r="L11" s="12">
        <f>Test!B9</f>
        <v>0</v>
      </c>
      <c r="M11" s="13">
        <f>Test!C9</f>
        <v>0</v>
      </c>
      <c r="N11" s="13">
        <f>Test!D9</f>
        <v>0</v>
      </c>
      <c r="O11" s="13">
        <f>Test!E9</f>
        <v>0</v>
      </c>
      <c r="P11" s="13">
        <f>Test!F9</f>
        <v>0</v>
      </c>
      <c r="Q11" s="13">
        <f>Test!G9</f>
        <v>0</v>
      </c>
      <c r="R11" s="14">
        <f t="shared" si="0"/>
        <v>0</v>
      </c>
      <c r="S11" s="18" t="e">
        <f t="shared" si="1"/>
        <v>#DIV/0!</v>
      </c>
      <c r="T11" s="18" t="e">
        <f t="shared" si="1"/>
        <v>#DIV/0!</v>
      </c>
      <c r="U11" s="59"/>
      <c r="V11" s="41" t="e">
        <f>bdrate($D11:$D14,E11:E14,$L11:$L14,M11:M14)</f>
        <v>#VALUE!</v>
      </c>
      <c r="W11" s="46" t="e">
        <f>bdrate($D11:$D14,F11:F14,$L11:$L14,N11:N14)</f>
        <v>#VALUE!</v>
      </c>
      <c r="X11" s="46" t="e">
        <f>bdrate($D11:$D14,G11:G14,$L11:$L14,O11:O14)</f>
        <v>#VALUE!</v>
      </c>
      <c r="Y11" s="44" t="e">
        <f>bdrateOld($D11:$D14,E11:E14,$L11:$L14,M11:M14)</f>
        <v>#VALUE!</v>
      </c>
      <c r="Z11" s="48" t="e">
        <f>bdrateOld($D11:$D14,F11:F14,$L11:$L14,N11:N14)</f>
        <v>#VALUE!</v>
      </c>
      <c r="AA11" s="49" t="e">
        <f>bdrateOld($D11:$D14,G11:G14,$L11:$L14,O11:O14)</f>
        <v>#VALUE!</v>
      </c>
    </row>
    <row r="12" spans="1:27" x14ac:dyDescent="0.2">
      <c r="A12" s="35"/>
      <c r="B12" s="35"/>
      <c r="C12" s="35">
        <v>27</v>
      </c>
      <c r="D12" s="17">
        <f>Reference!B10</f>
        <v>0</v>
      </c>
      <c r="E12" s="18">
        <f>Reference!C10</f>
        <v>0</v>
      </c>
      <c r="F12" s="18">
        <f>Reference!D10</f>
        <v>0</v>
      </c>
      <c r="G12" s="18">
        <f>Reference!E10</f>
        <v>0</v>
      </c>
      <c r="H12" s="18">
        <f>Reference!F10</f>
        <v>0</v>
      </c>
      <c r="I12" s="18">
        <f>Reference!G10</f>
        <v>0</v>
      </c>
      <c r="J12" s="19">
        <f t="shared" si="2"/>
        <v>0</v>
      </c>
      <c r="L12" s="17">
        <f>Test!B10</f>
        <v>0</v>
      </c>
      <c r="M12" s="18">
        <f>Test!C10</f>
        <v>0</v>
      </c>
      <c r="N12" s="18">
        <f>Test!D10</f>
        <v>0</v>
      </c>
      <c r="O12" s="18">
        <f>Test!E10</f>
        <v>0</v>
      </c>
      <c r="P12" s="18">
        <f>Test!F10</f>
        <v>0</v>
      </c>
      <c r="Q12" s="18">
        <f>Test!G10</f>
        <v>0</v>
      </c>
      <c r="R12" s="19">
        <f t="shared" si="0"/>
        <v>0</v>
      </c>
      <c r="S12" s="18" t="e">
        <f t="shared" si="1"/>
        <v>#DIV/0!</v>
      </c>
      <c r="T12" s="18" t="e">
        <f t="shared" si="1"/>
        <v>#DIV/0!</v>
      </c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>
        <f>Reference!B11</f>
        <v>0</v>
      </c>
      <c r="E13" s="18">
        <f>Reference!C11</f>
        <v>0</v>
      </c>
      <c r="F13" s="18">
        <f>Reference!D11</f>
        <v>0</v>
      </c>
      <c r="G13" s="18">
        <f>Reference!E11</f>
        <v>0</v>
      </c>
      <c r="H13" s="18">
        <f>Reference!F11</f>
        <v>0</v>
      </c>
      <c r="I13" s="18">
        <f>Reference!G11</f>
        <v>0</v>
      </c>
      <c r="J13" s="19">
        <f t="shared" si="2"/>
        <v>0</v>
      </c>
      <c r="L13" s="17">
        <f>Test!B11</f>
        <v>0</v>
      </c>
      <c r="M13" s="18">
        <f>Test!C11</f>
        <v>0</v>
      </c>
      <c r="N13" s="18">
        <f>Test!D11</f>
        <v>0</v>
      </c>
      <c r="O13" s="18">
        <f>Test!E11</f>
        <v>0</v>
      </c>
      <c r="P13" s="18">
        <f>Test!F11</f>
        <v>0</v>
      </c>
      <c r="Q13" s="18">
        <f>Test!G11</f>
        <v>0</v>
      </c>
      <c r="R13" s="19">
        <f t="shared" si="0"/>
        <v>0</v>
      </c>
      <c r="S13" s="18" t="e">
        <f t="shared" si="1"/>
        <v>#DIV/0!</v>
      </c>
      <c r="T13" s="18" t="e">
        <f t="shared" si="1"/>
        <v>#DIV/0!</v>
      </c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>
        <f>Reference!B12</f>
        <v>0</v>
      </c>
      <c r="E14" s="23">
        <f>Reference!C12</f>
        <v>0</v>
      </c>
      <c r="F14" s="23">
        <f>Reference!D12</f>
        <v>0</v>
      </c>
      <c r="G14" s="23">
        <f>Reference!E12</f>
        <v>0</v>
      </c>
      <c r="H14" s="23">
        <f>Reference!F12</f>
        <v>0</v>
      </c>
      <c r="I14" s="23">
        <f>Reference!G12</f>
        <v>0</v>
      </c>
      <c r="J14" s="24">
        <f t="shared" si="2"/>
        <v>0</v>
      </c>
      <c r="L14" s="22">
        <f>Test!B12</f>
        <v>0</v>
      </c>
      <c r="M14" s="23">
        <f>Test!C12</f>
        <v>0</v>
      </c>
      <c r="N14" s="23">
        <f>Test!D12</f>
        <v>0</v>
      </c>
      <c r="O14" s="23">
        <f>Test!E12</f>
        <v>0</v>
      </c>
      <c r="P14" s="23">
        <f>Test!F12</f>
        <v>0</v>
      </c>
      <c r="Q14" s="23">
        <f>Test!G12</f>
        <v>0</v>
      </c>
      <c r="R14" s="24">
        <f t="shared" si="0"/>
        <v>0</v>
      </c>
      <c r="S14" s="18" t="e">
        <f t="shared" si="1"/>
        <v>#DIV/0!</v>
      </c>
      <c r="T14" s="18" t="e">
        <f t="shared" si="1"/>
        <v>#DIV/0!</v>
      </c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>
        <f>Reference!B13</f>
        <v>0</v>
      </c>
      <c r="E15" s="13">
        <f>Reference!C13</f>
        <v>0</v>
      </c>
      <c r="F15" s="13">
        <f>Reference!D13</f>
        <v>0</v>
      </c>
      <c r="G15" s="13">
        <f>Reference!E13</f>
        <v>0</v>
      </c>
      <c r="H15" s="13">
        <f>Reference!F13</f>
        <v>0</v>
      </c>
      <c r="I15" s="13">
        <f>Reference!G13</f>
        <v>0</v>
      </c>
      <c r="J15" s="14">
        <f>H15/3600</f>
        <v>0</v>
      </c>
      <c r="L15" s="12">
        <f>Test!B13</f>
        <v>0</v>
      </c>
      <c r="M15" s="13">
        <f>Test!C13</f>
        <v>0</v>
      </c>
      <c r="N15" s="13">
        <f>Test!D13</f>
        <v>0</v>
      </c>
      <c r="O15" s="13">
        <f>Test!E13</f>
        <v>0</v>
      </c>
      <c r="P15" s="13">
        <f>Test!F13</f>
        <v>0</v>
      </c>
      <c r="Q15" s="13">
        <f>Test!G13</f>
        <v>0</v>
      </c>
      <c r="R15" s="14">
        <f>P15/3600</f>
        <v>0</v>
      </c>
      <c r="S15" s="13" t="e">
        <f>P15/H15</f>
        <v>#DIV/0!</v>
      </c>
      <c r="T15" s="13" t="e">
        <f>Q15/I15</f>
        <v>#DIV/0!</v>
      </c>
      <c r="U15" s="58"/>
      <c r="V15" s="41" t="e">
        <f>bdrate($D15:$D18,E15:E18,$L15:$L18,M15:M18)</f>
        <v>#VALUE!</v>
      </c>
      <c r="W15" s="46" t="e">
        <f>bdrate($D15:$D18,F15:F18,$L15:$L18,N15:N18)</f>
        <v>#VALUE!</v>
      </c>
      <c r="X15" s="47" t="e">
        <f>bdrate($D15:$D18,G15:G18,$L15:$L18,O15:O18)</f>
        <v>#VALUE!</v>
      </c>
      <c r="Y15" s="41" t="e">
        <f>bdrateOld($D15:$D18,E15:E18,$L15:$L18,M15:M18)</f>
        <v>#VALUE!</v>
      </c>
      <c r="Z15" s="46" t="e">
        <f>bdrateOld($D15:$D18,F15:F18,$L15:$L18,N15:N18)</f>
        <v>#VALUE!</v>
      </c>
      <c r="AA15" s="47" t="e">
        <f>bdrateOld($D15:$D18,G15:G18,$L15:$L18,O15:O18)</f>
        <v>#VALUE!</v>
      </c>
    </row>
    <row r="16" spans="1:27" x14ac:dyDescent="0.2">
      <c r="A16" s="16" t="s">
        <v>44</v>
      </c>
      <c r="B16" s="16"/>
      <c r="C16" s="16">
        <v>27</v>
      </c>
      <c r="D16" s="17">
        <f>Reference!B14</f>
        <v>0</v>
      </c>
      <c r="E16" s="18">
        <f>Reference!C14</f>
        <v>0</v>
      </c>
      <c r="F16" s="18">
        <f>Reference!D14</f>
        <v>0</v>
      </c>
      <c r="G16" s="18">
        <f>Reference!E14</f>
        <v>0</v>
      </c>
      <c r="H16" s="18">
        <f>Reference!F14</f>
        <v>0</v>
      </c>
      <c r="I16" s="18">
        <f>Reference!G14</f>
        <v>0</v>
      </c>
      <c r="J16" s="19">
        <f t="shared" ref="J16:J26" si="3">H16/3600</f>
        <v>0</v>
      </c>
      <c r="L16" s="17">
        <f>Test!B14</f>
        <v>0</v>
      </c>
      <c r="M16" s="18">
        <f>Test!C14</f>
        <v>0</v>
      </c>
      <c r="N16" s="18">
        <f>Test!D14</f>
        <v>0</v>
      </c>
      <c r="O16" s="18">
        <f>Test!E14</f>
        <v>0</v>
      </c>
      <c r="P16" s="18">
        <f>Test!F14</f>
        <v>0</v>
      </c>
      <c r="Q16" s="18">
        <f>Test!G14</f>
        <v>0</v>
      </c>
      <c r="R16" s="19">
        <f t="shared" ref="R16:R26" si="4">P16/3600</f>
        <v>0</v>
      </c>
      <c r="S16" s="18" t="e">
        <f t="shared" ref="S16:S26" si="5">P16/H16</f>
        <v>#DIV/0!</v>
      </c>
      <c r="T16" s="18" t="e">
        <f t="shared" ref="T16:T26" si="6">Q16/I16</f>
        <v>#DIV/0!</v>
      </c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>
        <f>Reference!B15</f>
        <v>0</v>
      </c>
      <c r="E17" s="18">
        <f>Reference!C15</f>
        <v>0</v>
      </c>
      <c r="F17" s="18">
        <f>Reference!D15</f>
        <v>0</v>
      </c>
      <c r="G17" s="18">
        <f>Reference!E15</f>
        <v>0</v>
      </c>
      <c r="H17" s="18">
        <f>Reference!F15</f>
        <v>0</v>
      </c>
      <c r="I17" s="18">
        <f>Reference!G15</f>
        <v>0</v>
      </c>
      <c r="J17" s="19">
        <f t="shared" si="3"/>
        <v>0</v>
      </c>
      <c r="L17" s="17">
        <f>Test!B15</f>
        <v>0</v>
      </c>
      <c r="M17" s="18">
        <f>Test!C15</f>
        <v>0</v>
      </c>
      <c r="N17" s="18">
        <f>Test!D15</f>
        <v>0</v>
      </c>
      <c r="O17" s="18">
        <f>Test!E15</f>
        <v>0</v>
      </c>
      <c r="P17" s="18">
        <f>Test!F15</f>
        <v>0</v>
      </c>
      <c r="Q17" s="18">
        <f>Test!G15</f>
        <v>0</v>
      </c>
      <c r="R17" s="19">
        <f t="shared" si="4"/>
        <v>0</v>
      </c>
      <c r="S17" s="18" t="e">
        <f t="shared" si="5"/>
        <v>#DIV/0!</v>
      </c>
      <c r="T17" s="18" t="e">
        <f t="shared" si="6"/>
        <v>#DIV/0!</v>
      </c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>
        <f>Reference!B16</f>
        <v>0</v>
      </c>
      <c r="E18" s="23">
        <f>Reference!C16</f>
        <v>0</v>
      </c>
      <c r="F18" s="23">
        <f>Reference!D16</f>
        <v>0</v>
      </c>
      <c r="G18" s="23">
        <f>Reference!E16</f>
        <v>0</v>
      </c>
      <c r="H18" s="23">
        <f>Reference!F16</f>
        <v>0</v>
      </c>
      <c r="I18" s="23">
        <f>Reference!G16</f>
        <v>0</v>
      </c>
      <c r="J18" s="24">
        <f t="shared" si="3"/>
        <v>0</v>
      </c>
      <c r="L18" s="22">
        <f>Test!B16</f>
        <v>0</v>
      </c>
      <c r="M18" s="23">
        <f>Test!C16</f>
        <v>0</v>
      </c>
      <c r="N18" s="23">
        <f>Test!D16</f>
        <v>0</v>
      </c>
      <c r="O18" s="23">
        <f>Test!E16</f>
        <v>0</v>
      </c>
      <c r="P18" s="23">
        <f>Test!F16</f>
        <v>0</v>
      </c>
      <c r="Q18" s="23">
        <f>Test!G16</f>
        <v>0</v>
      </c>
      <c r="R18" s="24">
        <f t="shared" si="4"/>
        <v>0</v>
      </c>
      <c r="S18" s="18" t="e">
        <f t="shared" si="5"/>
        <v>#DIV/0!</v>
      </c>
      <c r="T18" s="18" t="e">
        <f t="shared" si="6"/>
        <v>#DIV/0!</v>
      </c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>
        <f>Reference!B17</f>
        <v>0</v>
      </c>
      <c r="E19" s="13">
        <f>Reference!C17</f>
        <v>0</v>
      </c>
      <c r="F19" s="13">
        <f>Reference!D17</f>
        <v>0</v>
      </c>
      <c r="G19" s="13">
        <f>Reference!E17</f>
        <v>0</v>
      </c>
      <c r="H19" s="13">
        <f>Reference!F17</f>
        <v>0</v>
      </c>
      <c r="I19" s="13">
        <f>Reference!G17</f>
        <v>0</v>
      </c>
      <c r="J19" s="14">
        <f t="shared" si="3"/>
        <v>0</v>
      </c>
      <c r="L19" s="12">
        <f>Test!B17</f>
        <v>0</v>
      </c>
      <c r="M19" s="13">
        <f>Test!C17</f>
        <v>0</v>
      </c>
      <c r="N19" s="13">
        <f>Test!D17</f>
        <v>0</v>
      </c>
      <c r="O19" s="13">
        <f>Test!E17</f>
        <v>0</v>
      </c>
      <c r="P19" s="13">
        <f>Test!F17</f>
        <v>0</v>
      </c>
      <c r="Q19" s="13">
        <f>Test!G17</f>
        <v>0</v>
      </c>
      <c r="R19" s="14">
        <f t="shared" si="4"/>
        <v>0</v>
      </c>
      <c r="S19" s="18" t="e">
        <f t="shared" si="5"/>
        <v>#DIV/0!</v>
      </c>
      <c r="T19" s="18" t="e">
        <f t="shared" si="6"/>
        <v>#DIV/0!</v>
      </c>
      <c r="U19" s="59"/>
      <c r="V19" s="41" t="e">
        <f>bdrate($D19:$D22,E19:E22,$L19:$L22,M19:M22)</f>
        <v>#VALUE!</v>
      </c>
      <c r="W19" s="46" t="e">
        <f>bdrate($D19:$D22,F19:F22,$L19:$L22,N19:N22)</f>
        <v>#VALUE!</v>
      </c>
      <c r="X19" s="46" t="e">
        <f>bdrate($D19:$D22,G19:G22,$L19:$L22,O19:O22)</f>
        <v>#VALUE!</v>
      </c>
      <c r="Y19" s="44" t="e">
        <f>bdrateOld($D19:$D22,E19:E22,$L19:$L22,M19:M22)</f>
        <v>#VALUE!</v>
      </c>
      <c r="Z19" s="48" t="e">
        <f>bdrateOld($D19:$D22,F19:F22,$L19:$L22,N19:N22)</f>
        <v>#VALUE!</v>
      </c>
      <c r="AA19" s="49" t="e">
        <f>bdrateOld($D19:$D22,G19:G22,$L19:$L22,O19:O22)</f>
        <v>#VALUE!</v>
      </c>
    </row>
    <row r="20" spans="1:27" x14ac:dyDescent="0.2">
      <c r="A20" s="16"/>
      <c r="B20" s="16"/>
      <c r="C20" s="16">
        <v>27</v>
      </c>
      <c r="D20" s="17">
        <f>Reference!B18</f>
        <v>0</v>
      </c>
      <c r="E20" s="18">
        <f>Reference!C18</f>
        <v>0</v>
      </c>
      <c r="F20" s="18">
        <f>Reference!D18</f>
        <v>0</v>
      </c>
      <c r="G20" s="18">
        <f>Reference!E18</f>
        <v>0</v>
      </c>
      <c r="H20" s="18">
        <f>Reference!F18</f>
        <v>0</v>
      </c>
      <c r="I20" s="18">
        <f>Reference!G18</f>
        <v>0</v>
      </c>
      <c r="J20" s="19">
        <f t="shared" si="3"/>
        <v>0</v>
      </c>
      <c r="L20" s="17">
        <f>Test!B18</f>
        <v>0</v>
      </c>
      <c r="M20" s="18">
        <f>Test!C18</f>
        <v>0</v>
      </c>
      <c r="N20" s="18">
        <f>Test!D18</f>
        <v>0</v>
      </c>
      <c r="O20" s="18">
        <f>Test!E18</f>
        <v>0</v>
      </c>
      <c r="P20" s="18">
        <f>Test!F18</f>
        <v>0</v>
      </c>
      <c r="Q20" s="18">
        <f>Test!G18</f>
        <v>0</v>
      </c>
      <c r="R20" s="19">
        <f t="shared" si="4"/>
        <v>0</v>
      </c>
      <c r="S20" s="18" t="e">
        <f t="shared" si="5"/>
        <v>#DIV/0!</v>
      </c>
      <c r="T20" s="18" t="e">
        <f t="shared" si="6"/>
        <v>#DIV/0!</v>
      </c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>
        <f>Reference!B19</f>
        <v>0</v>
      </c>
      <c r="E21" s="18">
        <f>Reference!C19</f>
        <v>0</v>
      </c>
      <c r="F21" s="18">
        <f>Reference!D19</f>
        <v>0</v>
      </c>
      <c r="G21" s="18">
        <f>Reference!E19</f>
        <v>0</v>
      </c>
      <c r="H21" s="18">
        <f>Reference!F19</f>
        <v>0</v>
      </c>
      <c r="I21" s="18">
        <f>Reference!G19</f>
        <v>0</v>
      </c>
      <c r="J21" s="19">
        <f t="shared" si="3"/>
        <v>0</v>
      </c>
      <c r="L21" s="17">
        <f>Test!B19</f>
        <v>0</v>
      </c>
      <c r="M21" s="18">
        <f>Test!C19</f>
        <v>0</v>
      </c>
      <c r="N21" s="18">
        <f>Test!D19</f>
        <v>0</v>
      </c>
      <c r="O21" s="18">
        <f>Test!E19</f>
        <v>0</v>
      </c>
      <c r="P21" s="18">
        <f>Test!F19</f>
        <v>0</v>
      </c>
      <c r="Q21" s="18">
        <f>Test!G19</f>
        <v>0</v>
      </c>
      <c r="R21" s="19">
        <f t="shared" si="4"/>
        <v>0</v>
      </c>
      <c r="S21" s="18" t="e">
        <f t="shared" si="5"/>
        <v>#DIV/0!</v>
      </c>
      <c r="T21" s="18" t="e">
        <f t="shared" si="6"/>
        <v>#DIV/0!</v>
      </c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>
        <f>Reference!B20</f>
        <v>0</v>
      </c>
      <c r="E22" s="23">
        <f>Reference!C20</f>
        <v>0</v>
      </c>
      <c r="F22" s="23">
        <f>Reference!D20</f>
        <v>0</v>
      </c>
      <c r="G22" s="23">
        <f>Reference!E20</f>
        <v>0</v>
      </c>
      <c r="H22" s="23">
        <f>Reference!F20</f>
        <v>0</v>
      </c>
      <c r="I22" s="23">
        <f>Reference!G20</f>
        <v>0</v>
      </c>
      <c r="J22" s="24">
        <f t="shared" si="3"/>
        <v>0</v>
      </c>
      <c r="L22" s="22">
        <f>Test!B20</f>
        <v>0</v>
      </c>
      <c r="M22" s="23">
        <f>Test!C20</f>
        <v>0</v>
      </c>
      <c r="N22" s="23">
        <f>Test!D20</f>
        <v>0</v>
      </c>
      <c r="O22" s="23">
        <f>Test!E20</f>
        <v>0</v>
      </c>
      <c r="P22" s="23">
        <f>Test!F20</f>
        <v>0</v>
      </c>
      <c r="Q22" s="23">
        <f>Test!G20</f>
        <v>0</v>
      </c>
      <c r="R22" s="24">
        <f t="shared" si="4"/>
        <v>0</v>
      </c>
      <c r="S22" s="18" t="e">
        <f t="shared" si="5"/>
        <v>#DIV/0!</v>
      </c>
      <c r="T22" s="18" t="e">
        <f t="shared" si="6"/>
        <v>#DIV/0!</v>
      </c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>
        <f>Reference!B21</f>
        <v>0</v>
      </c>
      <c r="E23" s="13">
        <f>Reference!C21</f>
        <v>0</v>
      </c>
      <c r="F23" s="13">
        <f>Reference!D21</f>
        <v>0</v>
      </c>
      <c r="G23" s="13">
        <f>Reference!E21</f>
        <v>0</v>
      </c>
      <c r="H23" s="13">
        <f>Reference!F21</f>
        <v>0</v>
      </c>
      <c r="I23" s="13">
        <f>Reference!G21</f>
        <v>0</v>
      </c>
      <c r="J23" s="14">
        <f t="shared" si="3"/>
        <v>0</v>
      </c>
      <c r="L23" s="12">
        <f>Test!B21</f>
        <v>0</v>
      </c>
      <c r="M23" s="13">
        <f>Test!C21</f>
        <v>0</v>
      </c>
      <c r="N23" s="13">
        <f>Test!D21</f>
        <v>0</v>
      </c>
      <c r="O23" s="13">
        <f>Test!E21</f>
        <v>0</v>
      </c>
      <c r="P23" s="13">
        <f>Test!F21</f>
        <v>0</v>
      </c>
      <c r="Q23" s="13">
        <f>Test!G21</f>
        <v>0</v>
      </c>
      <c r="R23" s="14">
        <f t="shared" si="4"/>
        <v>0</v>
      </c>
      <c r="S23" s="18" t="e">
        <f t="shared" si="5"/>
        <v>#DIV/0!</v>
      </c>
      <c r="T23" s="18" t="e">
        <f t="shared" si="6"/>
        <v>#DIV/0!</v>
      </c>
      <c r="U23" s="59"/>
      <c r="V23" s="41" t="e">
        <f>bdrate($D23:$D26,E23:E26,$L23:$L26,M23:M26)</f>
        <v>#VALUE!</v>
      </c>
      <c r="W23" s="46" t="e">
        <f>bdrate($D23:$D26,F23:F26,$L23:$L26,N23:N26)</f>
        <v>#VALUE!</v>
      </c>
      <c r="X23" s="46" t="e">
        <f>bdrate($D23:$D26,G23:G26,$L23:$L26,O23:O26)</f>
        <v>#VALUE!</v>
      </c>
      <c r="Y23" s="44" t="e">
        <f>bdrateOld($D23:$D26,E23:E26,$L23:$L26,M23:M26)</f>
        <v>#VALUE!</v>
      </c>
      <c r="Z23" s="48" t="e">
        <f>bdrateOld($D23:$D26,F23:F26,$L23:$L26,N23:N26)</f>
        <v>#VALUE!</v>
      </c>
      <c r="AA23" s="49" t="e">
        <f>bdrateOld($D23:$D26,G23:G26,$L23:$L26,O23:O26)</f>
        <v>#VALUE!</v>
      </c>
    </row>
    <row r="24" spans="1:27" x14ac:dyDescent="0.2">
      <c r="A24" s="35"/>
      <c r="B24" s="16"/>
      <c r="C24" s="35">
        <v>27</v>
      </c>
      <c r="D24" s="17">
        <f>Reference!B22</f>
        <v>0</v>
      </c>
      <c r="E24" s="18">
        <f>Reference!C22</f>
        <v>0</v>
      </c>
      <c r="F24" s="18">
        <f>Reference!D22</f>
        <v>0</v>
      </c>
      <c r="G24" s="18">
        <f>Reference!E22</f>
        <v>0</v>
      </c>
      <c r="H24" s="18">
        <f>Reference!F22</f>
        <v>0</v>
      </c>
      <c r="I24" s="18">
        <f>Reference!G22</f>
        <v>0</v>
      </c>
      <c r="J24" s="19">
        <f t="shared" si="3"/>
        <v>0</v>
      </c>
      <c r="L24" s="17">
        <f>Test!B22</f>
        <v>0</v>
      </c>
      <c r="M24" s="18">
        <f>Test!C22</f>
        <v>0</v>
      </c>
      <c r="N24" s="18">
        <f>Test!D22</f>
        <v>0</v>
      </c>
      <c r="O24" s="18">
        <f>Test!E22</f>
        <v>0</v>
      </c>
      <c r="P24" s="18">
        <f>Test!F22</f>
        <v>0</v>
      </c>
      <c r="Q24" s="18">
        <f>Test!G22</f>
        <v>0</v>
      </c>
      <c r="R24" s="19">
        <f t="shared" si="4"/>
        <v>0</v>
      </c>
      <c r="S24" s="18" t="e">
        <f t="shared" si="5"/>
        <v>#DIV/0!</v>
      </c>
      <c r="T24" s="18" t="e">
        <f t="shared" si="6"/>
        <v>#DIV/0!</v>
      </c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>
        <f>Reference!B23</f>
        <v>0</v>
      </c>
      <c r="E25" s="18">
        <f>Reference!C23</f>
        <v>0</v>
      </c>
      <c r="F25" s="18">
        <f>Reference!D23</f>
        <v>0</v>
      </c>
      <c r="G25" s="18">
        <f>Reference!E23</f>
        <v>0</v>
      </c>
      <c r="H25" s="18">
        <f>Reference!F23</f>
        <v>0</v>
      </c>
      <c r="I25" s="18">
        <f>Reference!G23</f>
        <v>0</v>
      </c>
      <c r="J25" s="19">
        <f t="shared" si="3"/>
        <v>0</v>
      </c>
      <c r="L25" s="17">
        <f>Test!B23</f>
        <v>0</v>
      </c>
      <c r="M25" s="18">
        <f>Test!C23</f>
        <v>0</v>
      </c>
      <c r="N25" s="18">
        <f>Test!D23</f>
        <v>0</v>
      </c>
      <c r="O25" s="18">
        <f>Test!E23</f>
        <v>0</v>
      </c>
      <c r="P25" s="18">
        <f>Test!F23</f>
        <v>0</v>
      </c>
      <c r="Q25" s="18">
        <f>Test!G23</f>
        <v>0</v>
      </c>
      <c r="R25" s="19">
        <f t="shared" si="4"/>
        <v>0</v>
      </c>
      <c r="S25" s="18" t="e">
        <f t="shared" si="5"/>
        <v>#DIV/0!</v>
      </c>
      <c r="T25" s="18" t="e">
        <f t="shared" si="6"/>
        <v>#DIV/0!</v>
      </c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>
        <f>Reference!B24</f>
        <v>0</v>
      </c>
      <c r="E26" s="23">
        <f>Reference!C24</f>
        <v>0</v>
      </c>
      <c r="F26" s="23">
        <f>Reference!D24</f>
        <v>0</v>
      </c>
      <c r="G26" s="23">
        <f>Reference!E24</f>
        <v>0</v>
      </c>
      <c r="H26" s="23">
        <f>Reference!F24</f>
        <v>0</v>
      </c>
      <c r="I26" s="23">
        <f>Reference!G24</f>
        <v>0</v>
      </c>
      <c r="J26" s="24">
        <f t="shared" si="3"/>
        <v>0</v>
      </c>
      <c r="L26" s="22">
        <f>Test!B24</f>
        <v>0</v>
      </c>
      <c r="M26" s="23">
        <f>Test!C24</f>
        <v>0</v>
      </c>
      <c r="N26" s="23">
        <f>Test!D24</f>
        <v>0</v>
      </c>
      <c r="O26" s="23">
        <f>Test!E24</f>
        <v>0</v>
      </c>
      <c r="P26" s="23">
        <f>Test!F24</f>
        <v>0</v>
      </c>
      <c r="Q26" s="23">
        <f>Test!G24</f>
        <v>0</v>
      </c>
      <c r="R26" s="24">
        <f t="shared" si="4"/>
        <v>0</v>
      </c>
      <c r="S26" s="18" t="e">
        <f t="shared" si="5"/>
        <v>#DIV/0!</v>
      </c>
      <c r="T26" s="18" t="e">
        <f t="shared" si="6"/>
        <v>#DIV/0!</v>
      </c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Reference!B25</f>
        <v>0</v>
      </c>
      <c r="E27" s="13">
        <f>Reference!C25</f>
        <v>0</v>
      </c>
      <c r="F27" s="13">
        <f>Reference!D25</f>
        <v>0</v>
      </c>
      <c r="G27" s="13">
        <f>Reference!E25</f>
        <v>0</v>
      </c>
      <c r="H27" s="13">
        <f>Reference!F25</f>
        <v>0</v>
      </c>
      <c r="I27" s="13">
        <f>Reference!G25</f>
        <v>0</v>
      </c>
      <c r="J27" s="14">
        <f>H27/3600</f>
        <v>0</v>
      </c>
      <c r="L27" s="12">
        <f>Test!B25</f>
        <v>0</v>
      </c>
      <c r="M27" s="13">
        <f>Test!C25</f>
        <v>0</v>
      </c>
      <c r="N27" s="13">
        <f>Test!D25</f>
        <v>0</v>
      </c>
      <c r="O27" s="13">
        <f>Test!E25</f>
        <v>0</v>
      </c>
      <c r="P27" s="13">
        <f>Test!F25</f>
        <v>0</v>
      </c>
      <c r="Q27" s="13">
        <f>Test!G25</f>
        <v>0</v>
      </c>
      <c r="R27" s="14">
        <f>P27/3600</f>
        <v>0</v>
      </c>
      <c r="S27" s="13" t="e">
        <f>P27/H27</f>
        <v>#DIV/0!</v>
      </c>
      <c r="T27" s="13" t="e">
        <f>Q27/I27</f>
        <v>#DIV/0!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 x14ac:dyDescent="0.2">
      <c r="A28" s="16" t="s">
        <v>45</v>
      </c>
      <c r="B28" s="16"/>
      <c r="C28" s="16">
        <v>27</v>
      </c>
      <c r="D28" s="17">
        <f>Reference!B26</f>
        <v>0</v>
      </c>
      <c r="E28" s="18">
        <f>Reference!C26</f>
        <v>0</v>
      </c>
      <c r="F28" s="18">
        <f>Reference!D26</f>
        <v>0</v>
      </c>
      <c r="G28" s="18">
        <f>Reference!E26</f>
        <v>0</v>
      </c>
      <c r="H28" s="18">
        <f>Reference!F26</f>
        <v>0</v>
      </c>
      <c r="I28" s="18">
        <f>Reference!G26</f>
        <v>0</v>
      </c>
      <c r="J28" s="19">
        <f t="shared" ref="J28:J46" si="7">H28/3600</f>
        <v>0</v>
      </c>
      <c r="L28" s="17">
        <f>Test!B26</f>
        <v>0</v>
      </c>
      <c r="M28" s="18">
        <f>Test!C26</f>
        <v>0</v>
      </c>
      <c r="N28" s="18">
        <f>Test!D26</f>
        <v>0</v>
      </c>
      <c r="O28" s="18">
        <f>Test!E26</f>
        <v>0</v>
      </c>
      <c r="P28" s="18">
        <f>Test!F26</f>
        <v>0</v>
      </c>
      <c r="Q28" s="18">
        <f>Test!G26</f>
        <v>0</v>
      </c>
      <c r="R28" s="19">
        <f t="shared" ref="R28:R46" si="8">P28/3600</f>
        <v>0</v>
      </c>
      <c r="S28" s="18" t="e">
        <f t="shared" ref="S28:S46" si="9">P28/H28</f>
        <v>#DIV/0!</v>
      </c>
      <c r="T28" s="18" t="e">
        <f t="shared" ref="T28:T46" si="10">Q28/I28</f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Reference!B27</f>
        <v>0</v>
      </c>
      <c r="E29" s="18">
        <f>Reference!C27</f>
        <v>0</v>
      </c>
      <c r="F29" s="18">
        <f>Reference!D27</f>
        <v>0</v>
      </c>
      <c r="G29" s="18">
        <f>Reference!E27</f>
        <v>0</v>
      </c>
      <c r="H29" s="18">
        <f>Reference!F27</f>
        <v>0</v>
      </c>
      <c r="I29" s="18">
        <f>Reference!G27</f>
        <v>0</v>
      </c>
      <c r="J29" s="19">
        <f t="shared" si="7"/>
        <v>0</v>
      </c>
      <c r="L29" s="17">
        <f>Test!B27</f>
        <v>0</v>
      </c>
      <c r="M29" s="18">
        <f>Test!C27</f>
        <v>0</v>
      </c>
      <c r="N29" s="18">
        <f>Test!D27</f>
        <v>0</v>
      </c>
      <c r="O29" s="18">
        <f>Test!E27</f>
        <v>0</v>
      </c>
      <c r="P29" s="18">
        <f>Test!F27</f>
        <v>0</v>
      </c>
      <c r="Q29" s="18">
        <f>Test!G27</f>
        <v>0</v>
      </c>
      <c r="R29" s="19">
        <f t="shared" si="8"/>
        <v>0</v>
      </c>
      <c r="S29" s="18" t="e">
        <f t="shared" si="9"/>
        <v>#DIV/0!</v>
      </c>
      <c r="T29" s="18" t="e">
        <f t="shared" si="10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Reference!B28</f>
        <v>0</v>
      </c>
      <c r="E30" s="23">
        <f>Reference!C28</f>
        <v>0</v>
      </c>
      <c r="F30" s="23">
        <f>Reference!D28</f>
        <v>0</v>
      </c>
      <c r="G30" s="23">
        <f>Reference!E28</f>
        <v>0</v>
      </c>
      <c r="H30" s="23">
        <f>Reference!F28</f>
        <v>0</v>
      </c>
      <c r="I30" s="23">
        <f>Reference!G28</f>
        <v>0</v>
      </c>
      <c r="J30" s="24">
        <f t="shared" si="7"/>
        <v>0</v>
      </c>
      <c r="L30" s="22">
        <f>Test!B28</f>
        <v>0</v>
      </c>
      <c r="M30" s="23">
        <f>Test!C28</f>
        <v>0</v>
      </c>
      <c r="N30" s="23">
        <f>Test!D28</f>
        <v>0</v>
      </c>
      <c r="O30" s="23">
        <f>Test!E28</f>
        <v>0</v>
      </c>
      <c r="P30" s="23">
        <f>Test!F28</f>
        <v>0</v>
      </c>
      <c r="Q30" s="23">
        <f>Test!G28</f>
        <v>0</v>
      </c>
      <c r="R30" s="24">
        <f t="shared" si="8"/>
        <v>0</v>
      </c>
      <c r="S30" s="18" t="e">
        <f t="shared" si="9"/>
        <v>#DIV/0!</v>
      </c>
      <c r="T30" s="18" t="e">
        <f t="shared" si="10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Reference!B29</f>
        <v>0</v>
      </c>
      <c r="E31" s="13">
        <f>Reference!C29</f>
        <v>0</v>
      </c>
      <c r="F31" s="13">
        <f>Reference!D29</f>
        <v>0</v>
      </c>
      <c r="G31" s="13">
        <f>Reference!E29</f>
        <v>0</v>
      </c>
      <c r="H31" s="13">
        <f>Reference!F29</f>
        <v>0</v>
      </c>
      <c r="I31" s="13">
        <f>Reference!G29</f>
        <v>0</v>
      </c>
      <c r="J31" s="14">
        <f t="shared" si="7"/>
        <v>0</v>
      </c>
      <c r="L31" s="12">
        <f>Test!B29</f>
        <v>0</v>
      </c>
      <c r="M31" s="13">
        <f>Test!C29</f>
        <v>0</v>
      </c>
      <c r="N31" s="13">
        <f>Test!D29</f>
        <v>0</v>
      </c>
      <c r="O31" s="13">
        <f>Test!E29</f>
        <v>0</v>
      </c>
      <c r="P31" s="13">
        <f>Test!F29</f>
        <v>0</v>
      </c>
      <c r="Q31" s="13">
        <f>Test!G29</f>
        <v>0</v>
      </c>
      <c r="R31" s="14">
        <f t="shared" si="8"/>
        <v>0</v>
      </c>
      <c r="S31" s="18" t="e">
        <f t="shared" si="9"/>
        <v>#DIV/0!</v>
      </c>
      <c r="T31" s="18" t="e">
        <f t="shared" si="10"/>
        <v>#DIV/0!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 x14ac:dyDescent="0.2">
      <c r="A32" s="16"/>
      <c r="B32" s="16"/>
      <c r="C32" s="16">
        <v>27</v>
      </c>
      <c r="D32" s="17">
        <f>Reference!B30</f>
        <v>0</v>
      </c>
      <c r="E32" s="18">
        <f>Reference!C30</f>
        <v>0</v>
      </c>
      <c r="F32" s="18">
        <f>Reference!D30</f>
        <v>0</v>
      </c>
      <c r="G32" s="18">
        <f>Reference!E30</f>
        <v>0</v>
      </c>
      <c r="H32" s="18">
        <f>Reference!F30</f>
        <v>0</v>
      </c>
      <c r="I32" s="18">
        <f>Reference!G30</f>
        <v>0</v>
      </c>
      <c r="J32" s="19">
        <f t="shared" si="7"/>
        <v>0</v>
      </c>
      <c r="L32" s="17">
        <f>Test!B30</f>
        <v>0</v>
      </c>
      <c r="M32" s="18">
        <f>Test!C30</f>
        <v>0</v>
      </c>
      <c r="N32" s="18">
        <f>Test!D30</f>
        <v>0</v>
      </c>
      <c r="O32" s="18">
        <f>Test!E30</f>
        <v>0</v>
      </c>
      <c r="P32" s="18">
        <f>Test!F30</f>
        <v>0</v>
      </c>
      <c r="Q32" s="18">
        <f>Test!G30</f>
        <v>0</v>
      </c>
      <c r="R32" s="19">
        <f t="shared" si="8"/>
        <v>0</v>
      </c>
      <c r="S32" s="18" t="e">
        <f t="shared" si="9"/>
        <v>#DIV/0!</v>
      </c>
      <c r="T32" s="18" t="e">
        <f t="shared" si="10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Reference!B31</f>
        <v>0</v>
      </c>
      <c r="E33" s="18">
        <f>Reference!C31</f>
        <v>0</v>
      </c>
      <c r="F33" s="18">
        <f>Reference!D31</f>
        <v>0</v>
      </c>
      <c r="G33" s="18">
        <f>Reference!E31</f>
        <v>0</v>
      </c>
      <c r="H33" s="18">
        <f>Reference!F31</f>
        <v>0</v>
      </c>
      <c r="I33" s="18">
        <f>Reference!G31</f>
        <v>0</v>
      </c>
      <c r="J33" s="19">
        <f t="shared" si="7"/>
        <v>0</v>
      </c>
      <c r="L33" s="17">
        <f>Test!B31</f>
        <v>0</v>
      </c>
      <c r="M33" s="18">
        <f>Test!C31</f>
        <v>0</v>
      </c>
      <c r="N33" s="18">
        <f>Test!D31</f>
        <v>0</v>
      </c>
      <c r="O33" s="18">
        <f>Test!E31</f>
        <v>0</v>
      </c>
      <c r="P33" s="18">
        <f>Test!F31</f>
        <v>0</v>
      </c>
      <c r="Q33" s="18">
        <f>Test!G31</f>
        <v>0</v>
      </c>
      <c r="R33" s="19">
        <f t="shared" si="8"/>
        <v>0</v>
      </c>
      <c r="S33" s="18" t="e">
        <f t="shared" si="9"/>
        <v>#DIV/0!</v>
      </c>
      <c r="T33" s="18" t="e">
        <f t="shared" si="10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Reference!B32</f>
        <v>0</v>
      </c>
      <c r="E34" s="23">
        <f>Reference!C32</f>
        <v>0</v>
      </c>
      <c r="F34" s="23">
        <f>Reference!D32</f>
        <v>0</v>
      </c>
      <c r="G34" s="23">
        <f>Reference!E32</f>
        <v>0</v>
      </c>
      <c r="H34" s="23">
        <f>Reference!F32</f>
        <v>0</v>
      </c>
      <c r="I34" s="23">
        <f>Reference!G32</f>
        <v>0</v>
      </c>
      <c r="J34" s="24">
        <f t="shared" si="7"/>
        <v>0</v>
      </c>
      <c r="L34" s="22">
        <f>Test!B32</f>
        <v>0</v>
      </c>
      <c r="M34" s="23">
        <f>Test!C32</f>
        <v>0</v>
      </c>
      <c r="N34" s="23">
        <f>Test!D32</f>
        <v>0</v>
      </c>
      <c r="O34" s="23">
        <f>Test!E32</f>
        <v>0</v>
      </c>
      <c r="P34" s="23">
        <f>Test!F32</f>
        <v>0</v>
      </c>
      <c r="Q34" s="23">
        <f>Test!G32</f>
        <v>0</v>
      </c>
      <c r="R34" s="24">
        <f t="shared" si="8"/>
        <v>0</v>
      </c>
      <c r="S34" s="18" t="e">
        <f t="shared" si="9"/>
        <v>#DIV/0!</v>
      </c>
      <c r="T34" s="18" t="e">
        <f t="shared" si="10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Reference!B33</f>
        <v>0</v>
      </c>
      <c r="E35" s="13">
        <f>Reference!C33</f>
        <v>0</v>
      </c>
      <c r="F35" s="13">
        <f>Reference!D33</f>
        <v>0</v>
      </c>
      <c r="G35" s="13">
        <f>Reference!E33</f>
        <v>0</v>
      </c>
      <c r="H35" s="13">
        <f>Reference!F33</f>
        <v>0</v>
      </c>
      <c r="I35" s="13">
        <f>Reference!G33</f>
        <v>0</v>
      </c>
      <c r="J35" s="14">
        <f t="shared" si="7"/>
        <v>0</v>
      </c>
      <c r="L35" s="12">
        <f>Test!B33</f>
        <v>0</v>
      </c>
      <c r="M35" s="13">
        <f>Test!C33</f>
        <v>0</v>
      </c>
      <c r="N35" s="13">
        <f>Test!D33</f>
        <v>0</v>
      </c>
      <c r="O35" s="13">
        <f>Test!E33</f>
        <v>0</v>
      </c>
      <c r="P35" s="13">
        <f>Test!F33</f>
        <v>0</v>
      </c>
      <c r="Q35" s="13">
        <f>Test!G33</f>
        <v>0</v>
      </c>
      <c r="R35" s="14">
        <f t="shared" si="8"/>
        <v>0</v>
      </c>
      <c r="S35" s="18" t="e">
        <f t="shared" si="9"/>
        <v>#DIV/0!</v>
      </c>
      <c r="T35" s="18" t="e">
        <f t="shared" si="10"/>
        <v>#DIV/0!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 x14ac:dyDescent="0.2">
      <c r="A36" s="16"/>
      <c r="B36" s="16"/>
      <c r="C36" s="16">
        <v>27</v>
      </c>
      <c r="D36" s="17">
        <f>Reference!B34</f>
        <v>0</v>
      </c>
      <c r="E36" s="18">
        <f>Reference!C34</f>
        <v>0</v>
      </c>
      <c r="F36" s="18">
        <f>Reference!D34</f>
        <v>0</v>
      </c>
      <c r="G36" s="18">
        <f>Reference!E34</f>
        <v>0</v>
      </c>
      <c r="H36" s="18">
        <f>Reference!F34</f>
        <v>0</v>
      </c>
      <c r="I36" s="18">
        <f>Reference!G34</f>
        <v>0</v>
      </c>
      <c r="J36" s="19">
        <f t="shared" si="7"/>
        <v>0</v>
      </c>
      <c r="L36" s="17">
        <f>Test!B34</f>
        <v>0</v>
      </c>
      <c r="M36" s="18">
        <f>Test!C34</f>
        <v>0</v>
      </c>
      <c r="N36" s="18">
        <f>Test!D34</f>
        <v>0</v>
      </c>
      <c r="O36" s="18">
        <f>Test!E34</f>
        <v>0</v>
      </c>
      <c r="P36" s="18">
        <f>Test!F34</f>
        <v>0</v>
      </c>
      <c r="Q36" s="18">
        <f>Test!G34</f>
        <v>0</v>
      </c>
      <c r="R36" s="19">
        <f t="shared" si="8"/>
        <v>0</v>
      </c>
      <c r="S36" s="18" t="e">
        <f t="shared" si="9"/>
        <v>#DIV/0!</v>
      </c>
      <c r="T36" s="18" t="e">
        <f t="shared" si="10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Reference!B35</f>
        <v>0</v>
      </c>
      <c r="E37" s="18">
        <f>Reference!C35</f>
        <v>0</v>
      </c>
      <c r="F37" s="18">
        <f>Reference!D35</f>
        <v>0</v>
      </c>
      <c r="G37" s="18">
        <f>Reference!E35</f>
        <v>0</v>
      </c>
      <c r="H37" s="18">
        <f>Reference!F35</f>
        <v>0</v>
      </c>
      <c r="I37" s="18">
        <f>Reference!G35</f>
        <v>0</v>
      </c>
      <c r="J37" s="19">
        <f t="shared" si="7"/>
        <v>0</v>
      </c>
      <c r="L37" s="17">
        <f>Test!B35</f>
        <v>0</v>
      </c>
      <c r="M37" s="18">
        <f>Test!C35</f>
        <v>0</v>
      </c>
      <c r="N37" s="18">
        <f>Test!D35</f>
        <v>0</v>
      </c>
      <c r="O37" s="18">
        <f>Test!E35</f>
        <v>0</v>
      </c>
      <c r="P37" s="18">
        <f>Test!F35</f>
        <v>0</v>
      </c>
      <c r="Q37" s="18">
        <f>Test!G35</f>
        <v>0</v>
      </c>
      <c r="R37" s="19">
        <f t="shared" si="8"/>
        <v>0</v>
      </c>
      <c r="S37" s="18" t="e">
        <f t="shared" si="9"/>
        <v>#DIV/0!</v>
      </c>
      <c r="T37" s="18" t="e">
        <f t="shared" si="10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Reference!B36</f>
        <v>0</v>
      </c>
      <c r="E38" s="23">
        <f>Reference!C36</f>
        <v>0</v>
      </c>
      <c r="F38" s="23">
        <f>Reference!D36</f>
        <v>0</v>
      </c>
      <c r="G38" s="23">
        <f>Reference!E36</f>
        <v>0</v>
      </c>
      <c r="H38" s="23">
        <f>Reference!F36</f>
        <v>0</v>
      </c>
      <c r="I38" s="23">
        <f>Reference!G36</f>
        <v>0</v>
      </c>
      <c r="J38" s="24">
        <f t="shared" si="7"/>
        <v>0</v>
      </c>
      <c r="L38" s="22">
        <f>Test!B36</f>
        <v>0</v>
      </c>
      <c r="M38" s="23">
        <f>Test!C36</f>
        <v>0</v>
      </c>
      <c r="N38" s="23">
        <f>Test!D36</f>
        <v>0</v>
      </c>
      <c r="O38" s="23">
        <f>Test!E36</f>
        <v>0</v>
      </c>
      <c r="P38" s="23">
        <f>Test!F36</f>
        <v>0</v>
      </c>
      <c r="Q38" s="23">
        <f>Test!G36</f>
        <v>0</v>
      </c>
      <c r="R38" s="24">
        <f t="shared" si="8"/>
        <v>0</v>
      </c>
      <c r="S38" s="18" t="e">
        <f t="shared" si="9"/>
        <v>#DIV/0!</v>
      </c>
      <c r="T38" s="18" t="e">
        <f t="shared" si="10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Reference!B37</f>
        <v>0</v>
      </c>
      <c r="E39" s="13">
        <f>Reference!C37</f>
        <v>0</v>
      </c>
      <c r="F39" s="13">
        <f>Reference!D37</f>
        <v>0</v>
      </c>
      <c r="G39" s="13">
        <f>Reference!E37</f>
        <v>0</v>
      </c>
      <c r="H39" s="13">
        <f>Reference!F37</f>
        <v>0</v>
      </c>
      <c r="I39" s="13">
        <f>Reference!G37</f>
        <v>0</v>
      </c>
      <c r="J39" s="14">
        <f t="shared" si="7"/>
        <v>0</v>
      </c>
      <c r="L39" s="12">
        <f>Test!B37</f>
        <v>0</v>
      </c>
      <c r="M39" s="13">
        <f>Test!C37</f>
        <v>0</v>
      </c>
      <c r="N39" s="13">
        <f>Test!D37</f>
        <v>0</v>
      </c>
      <c r="O39" s="13">
        <f>Test!E37</f>
        <v>0</v>
      </c>
      <c r="P39" s="13">
        <f>Test!F37</f>
        <v>0</v>
      </c>
      <c r="Q39" s="13">
        <f>Test!G37</f>
        <v>0</v>
      </c>
      <c r="R39" s="14">
        <f t="shared" si="8"/>
        <v>0</v>
      </c>
      <c r="S39" s="18" t="e">
        <f t="shared" si="9"/>
        <v>#DIV/0!</v>
      </c>
      <c r="T39" s="18" t="e">
        <f t="shared" si="10"/>
        <v>#DIV/0!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 x14ac:dyDescent="0.2">
      <c r="A40" s="16"/>
      <c r="B40" s="16"/>
      <c r="C40" s="16">
        <v>27</v>
      </c>
      <c r="D40" s="17">
        <f>Reference!B38</f>
        <v>0</v>
      </c>
      <c r="E40" s="18">
        <f>Reference!C38</f>
        <v>0</v>
      </c>
      <c r="F40" s="18">
        <f>Reference!D38</f>
        <v>0</v>
      </c>
      <c r="G40" s="18">
        <f>Reference!E38</f>
        <v>0</v>
      </c>
      <c r="H40" s="18">
        <f>Reference!F38</f>
        <v>0</v>
      </c>
      <c r="I40" s="18">
        <f>Reference!G38</f>
        <v>0</v>
      </c>
      <c r="J40" s="19">
        <f t="shared" si="7"/>
        <v>0</v>
      </c>
      <c r="L40" s="17">
        <f>Test!B38</f>
        <v>0</v>
      </c>
      <c r="M40" s="18">
        <f>Test!C38</f>
        <v>0</v>
      </c>
      <c r="N40" s="18">
        <f>Test!D38</f>
        <v>0</v>
      </c>
      <c r="O40" s="18">
        <f>Test!E38</f>
        <v>0</v>
      </c>
      <c r="P40" s="18">
        <f>Test!F38</f>
        <v>0</v>
      </c>
      <c r="Q40" s="18">
        <f>Test!G38</f>
        <v>0</v>
      </c>
      <c r="R40" s="19">
        <f t="shared" si="8"/>
        <v>0</v>
      </c>
      <c r="S40" s="18" t="e">
        <f t="shared" si="9"/>
        <v>#DIV/0!</v>
      </c>
      <c r="T40" s="18" t="e">
        <f t="shared" si="10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Reference!B39</f>
        <v>0</v>
      </c>
      <c r="E41" s="18">
        <f>Reference!C39</f>
        <v>0</v>
      </c>
      <c r="F41" s="18">
        <f>Reference!D39</f>
        <v>0</v>
      </c>
      <c r="G41" s="18">
        <f>Reference!E39</f>
        <v>0</v>
      </c>
      <c r="H41" s="18">
        <f>Reference!F39</f>
        <v>0</v>
      </c>
      <c r="I41" s="18">
        <f>Reference!G39</f>
        <v>0</v>
      </c>
      <c r="J41" s="19">
        <f t="shared" si="7"/>
        <v>0</v>
      </c>
      <c r="L41" s="17">
        <f>Test!B39</f>
        <v>0</v>
      </c>
      <c r="M41" s="18">
        <f>Test!C39</f>
        <v>0</v>
      </c>
      <c r="N41" s="18">
        <f>Test!D39</f>
        <v>0</v>
      </c>
      <c r="O41" s="18">
        <f>Test!E39</f>
        <v>0</v>
      </c>
      <c r="P41" s="18">
        <f>Test!F39</f>
        <v>0</v>
      </c>
      <c r="Q41" s="18">
        <f>Test!G39</f>
        <v>0</v>
      </c>
      <c r="R41" s="19">
        <f t="shared" si="8"/>
        <v>0</v>
      </c>
      <c r="S41" s="18" t="e">
        <f t="shared" si="9"/>
        <v>#DIV/0!</v>
      </c>
      <c r="T41" s="18" t="e">
        <f t="shared" si="10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Reference!B40</f>
        <v>0</v>
      </c>
      <c r="E42" s="23">
        <f>Reference!C40</f>
        <v>0</v>
      </c>
      <c r="F42" s="23">
        <f>Reference!D40</f>
        <v>0</v>
      </c>
      <c r="G42" s="23">
        <f>Reference!E40</f>
        <v>0</v>
      </c>
      <c r="H42" s="23">
        <f>Reference!F40</f>
        <v>0</v>
      </c>
      <c r="I42" s="23">
        <f>Reference!G40</f>
        <v>0</v>
      </c>
      <c r="J42" s="24">
        <f t="shared" si="7"/>
        <v>0</v>
      </c>
      <c r="L42" s="22">
        <f>Test!B40</f>
        <v>0</v>
      </c>
      <c r="M42" s="23">
        <f>Test!C40</f>
        <v>0</v>
      </c>
      <c r="N42" s="23">
        <f>Test!D40</f>
        <v>0</v>
      </c>
      <c r="O42" s="23">
        <f>Test!E40</f>
        <v>0</v>
      </c>
      <c r="P42" s="23">
        <f>Test!F40</f>
        <v>0</v>
      </c>
      <c r="Q42" s="23">
        <f>Test!G40</f>
        <v>0</v>
      </c>
      <c r="R42" s="24">
        <f t="shared" si="8"/>
        <v>0</v>
      </c>
      <c r="S42" s="18" t="e">
        <f t="shared" si="9"/>
        <v>#DIV/0!</v>
      </c>
      <c r="T42" s="18" t="e">
        <f t="shared" si="10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Reference!B41</f>
        <v>0</v>
      </c>
      <c r="E43" s="13">
        <f>Reference!C41</f>
        <v>0</v>
      </c>
      <c r="F43" s="13">
        <f>Reference!D41</f>
        <v>0</v>
      </c>
      <c r="G43" s="13">
        <f>Reference!E41</f>
        <v>0</v>
      </c>
      <c r="H43" s="13">
        <f>Reference!F41</f>
        <v>0</v>
      </c>
      <c r="I43" s="13">
        <f>Reference!G41</f>
        <v>0</v>
      </c>
      <c r="J43" s="14">
        <f t="shared" si="7"/>
        <v>0</v>
      </c>
      <c r="L43" s="12">
        <f>Test!B41</f>
        <v>0</v>
      </c>
      <c r="M43" s="13">
        <f>Test!C41</f>
        <v>0</v>
      </c>
      <c r="N43" s="13">
        <f>Test!D41</f>
        <v>0</v>
      </c>
      <c r="O43" s="13">
        <f>Test!E41</f>
        <v>0</v>
      </c>
      <c r="P43" s="13">
        <f>Test!F41</f>
        <v>0</v>
      </c>
      <c r="Q43" s="13">
        <f>Test!G41</f>
        <v>0</v>
      </c>
      <c r="R43" s="14">
        <f t="shared" si="8"/>
        <v>0</v>
      </c>
      <c r="S43" s="18" t="e">
        <f t="shared" si="9"/>
        <v>#DIV/0!</v>
      </c>
      <c r="T43" s="18" t="e">
        <f t="shared" si="10"/>
        <v>#DIV/0!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 x14ac:dyDescent="0.2">
      <c r="A44" s="16"/>
      <c r="B44" s="16"/>
      <c r="C44" s="16">
        <v>27</v>
      </c>
      <c r="D44" s="17">
        <f>Reference!B42</f>
        <v>0</v>
      </c>
      <c r="E44" s="18">
        <f>Reference!C42</f>
        <v>0</v>
      </c>
      <c r="F44" s="18">
        <f>Reference!D42</f>
        <v>0</v>
      </c>
      <c r="G44" s="18">
        <f>Reference!E42</f>
        <v>0</v>
      </c>
      <c r="H44" s="18">
        <f>Reference!F42</f>
        <v>0</v>
      </c>
      <c r="I44" s="18">
        <f>Reference!G42</f>
        <v>0</v>
      </c>
      <c r="J44" s="19">
        <f t="shared" si="7"/>
        <v>0</v>
      </c>
      <c r="L44" s="17">
        <f>Test!B42</f>
        <v>0</v>
      </c>
      <c r="M44" s="18">
        <f>Test!C42</f>
        <v>0</v>
      </c>
      <c r="N44" s="18">
        <f>Test!D42</f>
        <v>0</v>
      </c>
      <c r="O44" s="18">
        <f>Test!E42</f>
        <v>0</v>
      </c>
      <c r="P44" s="18">
        <f>Test!F42</f>
        <v>0</v>
      </c>
      <c r="Q44" s="18">
        <f>Test!G42</f>
        <v>0</v>
      </c>
      <c r="R44" s="19">
        <f t="shared" si="8"/>
        <v>0</v>
      </c>
      <c r="S44" s="18" t="e">
        <f t="shared" si="9"/>
        <v>#DIV/0!</v>
      </c>
      <c r="T44" s="18" t="e">
        <f t="shared" si="10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Reference!B43</f>
        <v>0</v>
      </c>
      <c r="E45" s="18">
        <f>Reference!C43</f>
        <v>0</v>
      </c>
      <c r="F45" s="18">
        <f>Reference!D43</f>
        <v>0</v>
      </c>
      <c r="G45" s="18">
        <f>Reference!E43</f>
        <v>0</v>
      </c>
      <c r="H45" s="18">
        <f>Reference!F43</f>
        <v>0</v>
      </c>
      <c r="I45" s="18">
        <f>Reference!G43</f>
        <v>0</v>
      </c>
      <c r="J45" s="19">
        <f t="shared" si="7"/>
        <v>0</v>
      </c>
      <c r="L45" s="17">
        <f>Test!B43</f>
        <v>0</v>
      </c>
      <c r="M45" s="18">
        <f>Test!C43</f>
        <v>0</v>
      </c>
      <c r="N45" s="18">
        <f>Test!D43</f>
        <v>0</v>
      </c>
      <c r="O45" s="18">
        <f>Test!E43</f>
        <v>0</v>
      </c>
      <c r="P45" s="18">
        <f>Test!F43</f>
        <v>0</v>
      </c>
      <c r="Q45" s="18">
        <f>Test!G43</f>
        <v>0</v>
      </c>
      <c r="R45" s="19">
        <f t="shared" si="8"/>
        <v>0</v>
      </c>
      <c r="S45" s="18" t="e">
        <f t="shared" si="9"/>
        <v>#DIV/0!</v>
      </c>
      <c r="T45" s="18" t="e">
        <f t="shared" si="10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Reference!B44</f>
        <v>0</v>
      </c>
      <c r="E46" s="23">
        <f>Reference!C44</f>
        <v>0</v>
      </c>
      <c r="F46" s="23">
        <f>Reference!D44</f>
        <v>0</v>
      </c>
      <c r="G46" s="23">
        <f>Reference!E44</f>
        <v>0</v>
      </c>
      <c r="H46" s="23">
        <f>Reference!F44</f>
        <v>0</v>
      </c>
      <c r="I46" s="23">
        <f>Reference!G44</f>
        <v>0</v>
      </c>
      <c r="J46" s="24">
        <f t="shared" si="7"/>
        <v>0</v>
      </c>
      <c r="L46" s="22">
        <f>Test!B44</f>
        <v>0</v>
      </c>
      <c r="M46" s="23">
        <f>Test!C44</f>
        <v>0</v>
      </c>
      <c r="N46" s="23">
        <f>Test!D44</f>
        <v>0</v>
      </c>
      <c r="O46" s="23">
        <f>Test!E44</f>
        <v>0</v>
      </c>
      <c r="P46" s="23">
        <f>Test!F44</f>
        <v>0</v>
      </c>
      <c r="Q46" s="23">
        <f>Test!G44</f>
        <v>0</v>
      </c>
      <c r="R46" s="24">
        <f t="shared" si="8"/>
        <v>0</v>
      </c>
      <c r="S46" s="18" t="e">
        <f t="shared" si="9"/>
        <v>#DIV/0!</v>
      </c>
      <c r="T46" s="18" t="e">
        <f t="shared" si="10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Reference!B45</f>
        <v>0</v>
      </c>
      <c r="E47" s="13">
        <f>Reference!C45</f>
        <v>0</v>
      </c>
      <c r="F47" s="13">
        <f>Reference!D45</f>
        <v>0</v>
      </c>
      <c r="G47" s="13">
        <f>Reference!E45</f>
        <v>0</v>
      </c>
      <c r="H47" s="13">
        <f>Reference!F45</f>
        <v>0</v>
      </c>
      <c r="I47" s="13">
        <f>Reference!G45</f>
        <v>0</v>
      </c>
      <c r="J47" s="14">
        <f>H47/3600</f>
        <v>0</v>
      </c>
      <c r="L47" s="12">
        <f>Test!B45</f>
        <v>0</v>
      </c>
      <c r="M47" s="13">
        <f>Test!C45</f>
        <v>0</v>
      </c>
      <c r="N47" s="13">
        <f>Test!D45</f>
        <v>0</v>
      </c>
      <c r="O47" s="13">
        <f>Test!E45</f>
        <v>0</v>
      </c>
      <c r="P47" s="13">
        <f>Test!F45</f>
        <v>0</v>
      </c>
      <c r="Q47" s="13">
        <f>Test!G45</f>
        <v>0</v>
      </c>
      <c r="R47" s="14">
        <f>P47/3600</f>
        <v>0</v>
      </c>
      <c r="S47" s="13" t="e">
        <f>P47/H47</f>
        <v>#DIV/0!</v>
      </c>
      <c r="T47" s="13" t="e">
        <f>Q47/I47</f>
        <v>#DIV/0!</v>
      </c>
      <c r="U47" s="58"/>
      <c r="V47" s="41" t="e">
        <f>bdrate($D47:$D50,E47:E50,$L47:$L50,M47:M50)</f>
        <v>#VALUE!</v>
      </c>
      <c r="W47" s="46" t="e">
        <f>bdrate($D47:$D50,F47:F50,$L47:$L50,N47:N50)</f>
        <v>#VALUE!</v>
      </c>
      <c r="X47" s="47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 x14ac:dyDescent="0.2">
      <c r="A48" s="16" t="s">
        <v>46</v>
      </c>
      <c r="B48" s="16"/>
      <c r="C48" s="16">
        <v>27</v>
      </c>
      <c r="D48" s="17">
        <f>Reference!B46</f>
        <v>0</v>
      </c>
      <c r="E48" s="18">
        <f>Reference!C46</f>
        <v>0</v>
      </c>
      <c r="F48" s="18">
        <f>Reference!D46</f>
        <v>0</v>
      </c>
      <c r="G48" s="18">
        <f>Reference!E46</f>
        <v>0</v>
      </c>
      <c r="H48" s="18">
        <f>Reference!F46</f>
        <v>0</v>
      </c>
      <c r="I48" s="18">
        <f>Reference!G46</f>
        <v>0</v>
      </c>
      <c r="J48" s="19">
        <f t="shared" ref="J48:J62" si="11">H48/3600</f>
        <v>0</v>
      </c>
      <c r="L48" s="17">
        <f>Test!B46</f>
        <v>0</v>
      </c>
      <c r="M48" s="18">
        <f>Test!C46</f>
        <v>0</v>
      </c>
      <c r="N48" s="18">
        <f>Test!D46</f>
        <v>0</v>
      </c>
      <c r="O48" s="18">
        <f>Test!E46</f>
        <v>0</v>
      </c>
      <c r="P48" s="18">
        <f>Test!F46</f>
        <v>0</v>
      </c>
      <c r="Q48" s="18">
        <f>Test!G46</f>
        <v>0</v>
      </c>
      <c r="R48" s="19">
        <f t="shared" ref="R48:R62" si="12">P48/3600</f>
        <v>0</v>
      </c>
      <c r="S48" s="18" t="e">
        <f t="shared" ref="S48:S62" si="13">P48/H48</f>
        <v>#DIV/0!</v>
      </c>
      <c r="T48" s="18" t="e">
        <f t="shared" ref="T48:T62" si="14">Q48/I48</f>
        <v>#DIV/0!</v>
      </c>
      <c r="U48" s="59"/>
      <c r="V48" s="42"/>
      <c r="W48" s="25"/>
      <c r="X48" s="54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Reference!B47</f>
        <v>0</v>
      </c>
      <c r="E49" s="18">
        <f>Reference!C47</f>
        <v>0</v>
      </c>
      <c r="F49" s="18">
        <f>Reference!D47</f>
        <v>0</v>
      </c>
      <c r="G49" s="18">
        <f>Reference!E47</f>
        <v>0</v>
      </c>
      <c r="H49" s="18">
        <f>Reference!F47</f>
        <v>0</v>
      </c>
      <c r="I49" s="18">
        <f>Reference!G47</f>
        <v>0</v>
      </c>
      <c r="J49" s="19">
        <f t="shared" si="11"/>
        <v>0</v>
      </c>
      <c r="L49" s="17">
        <f>Test!B47</f>
        <v>0</v>
      </c>
      <c r="M49" s="18">
        <f>Test!C47</f>
        <v>0</v>
      </c>
      <c r="N49" s="18">
        <f>Test!D47</f>
        <v>0</v>
      </c>
      <c r="O49" s="18">
        <f>Test!E47</f>
        <v>0</v>
      </c>
      <c r="P49" s="18">
        <f>Test!F47</f>
        <v>0</v>
      </c>
      <c r="Q49" s="18">
        <f>Test!G47</f>
        <v>0</v>
      </c>
      <c r="R49" s="19">
        <f t="shared" si="12"/>
        <v>0</v>
      </c>
      <c r="S49" s="18" t="e">
        <f t="shared" si="13"/>
        <v>#DIV/0!</v>
      </c>
      <c r="T49" s="18" t="e">
        <f t="shared" si="14"/>
        <v>#DIV/0!</v>
      </c>
      <c r="U49" s="59"/>
      <c r="V49" s="42"/>
      <c r="W49" s="25"/>
      <c r="X49" s="54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Reference!B48</f>
        <v>0</v>
      </c>
      <c r="E50" s="23">
        <f>Reference!C48</f>
        <v>0</v>
      </c>
      <c r="F50" s="23">
        <f>Reference!D48</f>
        <v>0</v>
      </c>
      <c r="G50" s="23">
        <f>Reference!E48</f>
        <v>0</v>
      </c>
      <c r="H50" s="23">
        <f>Reference!F48</f>
        <v>0</v>
      </c>
      <c r="I50" s="23">
        <f>Reference!G48</f>
        <v>0</v>
      </c>
      <c r="J50" s="24">
        <f t="shared" si="11"/>
        <v>0</v>
      </c>
      <c r="L50" s="22">
        <f>Test!B48</f>
        <v>0</v>
      </c>
      <c r="M50" s="23">
        <f>Test!C48</f>
        <v>0</v>
      </c>
      <c r="N50" s="23">
        <f>Test!D48</f>
        <v>0</v>
      </c>
      <c r="O50" s="23">
        <f>Test!E48</f>
        <v>0</v>
      </c>
      <c r="P50" s="23">
        <f>Test!F48</f>
        <v>0</v>
      </c>
      <c r="Q50" s="23">
        <f>Test!G48</f>
        <v>0</v>
      </c>
      <c r="R50" s="24">
        <f t="shared" si="12"/>
        <v>0</v>
      </c>
      <c r="S50" s="18" t="e">
        <f t="shared" si="13"/>
        <v>#DIV/0!</v>
      </c>
      <c r="T50" s="18" t="e">
        <f t="shared" si="14"/>
        <v>#DIV/0!</v>
      </c>
      <c r="U50" s="59"/>
      <c r="V50" s="43"/>
      <c r="W50" s="55"/>
      <c r="X50" s="56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8" t="e">
        <f t="shared" si="13"/>
        <v>#DIV/0!</v>
      </c>
      <c r="T51" s="18" t="e">
        <f t="shared" si="14"/>
        <v>#DIV/0!</v>
      </c>
      <c r="U51" s="59"/>
      <c r="V51" s="41" t="e">
        <f>bdrate($D51:$D54,E51:E54,$L51:$L54,M51:M54)</f>
        <v>#VALUE!</v>
      </c>
      <c r="W51" s="46" t="e">
        <f>bdrate($D51:$D54,F51:F54,$L51:$L54,N51:N54)</f>
        <v>#VALUE!</v>
      </c>
      <c r="X51" s="46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 x14ac:dyDescent="0.2">
      <c r="A52" s="16"/>
      <c r="B52" s="16"/>
      <c r="C52" s="16">
        <v>27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8" t="e">
        <f t="shared" si="13"/>
        <v>#DIV/0!</v>
      </c>
      <c r="T52" s="18" t="e">
        <f t="shared" si="14"/>
        <v>#DIV/0!</v>
      </c>
      <c r="U52" s="59"/>
      <c r="V52" s="42"/>
      <c r="W52" s="25"/>
      <c r="X52" s="25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8" t="e">
        <f t="shared" si="13"/>
        <v>#DIV/0!</v>
      </c>
      <c r="T53" s="18" t="e">
        <f t="shared" si="14"/>
        <v>#DIV/0!</v>
      </c>
      <c r="U53" s="59"/>
      <c r="V53" s="42"/>
      <c r="W53" s="25"/>
      <c r="X53" s="25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8" t="e">
        <f t="shared" si="13"/>
        <v>#DIV/0!</v>
      </c>
      <c r="T54" s="18" t="e">
        <f t="shared" si="14"/>
        <v>#DIV/0!</v>
      </c>
      <c r="U54" s="59"/>
      <c r="V54" s="43"/>
      <c r="W54" s="55"/>
      <c r="X54" s="55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>H55/3600</f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8" t="e">
        <f t="shared" si="13"/>
        <v>#DIV/0!</v>
      </c>
      <c r="T55" s="18" t="e">
        <f t="shared" si="14"/>
        <v>#DIV/0!</v>
      </c>
      <c r="U55" s="59"/>
      <c r="V55" s="41" t="e">
        <f>bdrate($D55:$D58,E55:E58,$L55:$L58,M55:M58)</f>
        <v>#VALUE!</v>
      </c>
      <c r="W55" s="46" t="e">
        <f>bdrate($D55:$D58,F55:F58,$L55:$L58,N55:N58)</f>
        <v>#VALUE!</v>
      </c>
      <c r="X55" s="46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 x14ac:dyDescent="0.2">
      <c r="A56" s="16"/>
      <c r="B56" s="16"/>
      <c r="C56" s="16">
        <v>27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8" t="e">
        <f t="shared" si="13"/>
        <v>#DIV/0!</v>
      </c>
      <c r="T56" s="18" t="e">
        <f t="shared" si="14"/>
        <v>#DIV/0!</v>
      </c>
      <c r="U56" s="59"/>
      <c r="V56" s="42"/>
      <c r="W56" s="25"/>
      <c r="X56" s="25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>H57/3600</f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8" t="e">
        <f t="shared" si="13"/>
        <v>#DIV/0!</v>
      </c>
      <c r="T57" s="18" t="e">
        <f t="shared" si="14"/>
        <v>#DIV/0!</v>
      </c>
      <c r="U57" s="59"/>
      <c r="V57" s="42"/>
      <c r="W57" s="25"/>
      <c r="X57" s="25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18" t="e">
        <f t="shared" si="13"/>
        <v>#DIV/0!</v>
      </c>
      <c r="T58" s="18" t="e">
        <f t="shared" si="14"/>
        <v>#DIV/0!</v>
      </c>
      <c r="U58" s="59"/>
      <c r="V58" s="43"/>
      <c r="W58" s="55"/>
      <c r="X58" s="55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4">
        <f t="shared" si="12"/>
        <v>0</v>
      </c>
      <c r="S59" s="18" t="e">
        <f t="shared" si="13"/>
        <v>#DIV/0!</v>
      </c>
      <c r="T59" s="18" t="e">
        <f t="shared" si="14"/>
        <v>#DIV/0!</v>
      </c>
      <c r="U59" s="59"/>
      <c r="V59" s="41" t="e">
        <f>bdrate($D59:$D62,E59:E62,$L59:$L62,M59:M62)</f>
        <v>#VALUE!</v>
      </c>
      <c r="W59" s="46" t="e">
        <f>bdrate($D59:$D62,F59:F62,$L59:$L62,N59:N62)</f>
        <v>#VALUE!</v>
      </c>
      <c r="X59" s="46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 x14ac:dyDescent="0.2">
      <c r="A60" s="16"/>
      <c r="B60" s="16"/>
      <c r="C60" s="16">
        <v>27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9">
        <f t="shared" si="12"/>
        <v>0</v>
      </c>
      <c r="S60" s="18" t="e">
        <f t="shared" si="13"/>
        <v>#DIV/0!</v>
      </c>
      <c r="T60" s="18" t="e">
        <f t="shared" si="14"/>
        <v>#DIV/0!</v>
      </c>
      <c r="U60" s="59"/>
      <c r="V60" s="42"/>
      <c r="W60" s="25"/>
      <c r="X60" s="25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9">
        <f t="shared" si="12"/>
        <v>0</v>
      </c>
      <c r="S61" s="18" t="e">
        <f t="shared" si="13"/>
        <v>#DIV/0!</v>
      </c>
      <c r="T61" s="18" t="e">
        <f t="shared" si="14"/>
        <v>#DIV/0!</v>
      </c>
      <c r="U61" s="59"/>
      <c r="V61" s="42"/>
      <c r="W61" s="25"/>
      <c r="X61" s="25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4">
        <f t="shared" si="12"/>
        <v>0</v>
      </c>
      <c r="S62" s="23" t="e">
        <f t="shared" si="13"/>
        <v>#DIV/0!</v>
      </c>
      <c r="T62" s="23" t="e">
        <f t="shared" si="14"/>
        <v>#DIV/0!</v>
      </c>
      <c r="U62" s="60"/>
      <c r="V62" s="43"/>
      <c r="W62" s="55"/>
      <c r="X62" s="55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>H63/3600</f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4">
        <f>P63/3600</f>
        <v>0</v>
      </c>
      <c r="S63" s="13" t="e">
        <f>P63/H63</f>
        <v>#DIV/0!</v>
      </c>
      <c r="T63" s="13" t="e">
        <f>Q63/I63</f>
        <v>#DIV/0!</v>
      </c>
      <c r="U63" s="58"/>
      <c r="V63" s="41" t="e">
        <f>bdrate($D63:$D66,E63:E66,$L63:$L66,M63:M66)</f>
        <v>#VALUE!</v>
      </c>
      <c r="W63" s="46" t="e">
        <f>bdrate($D63:$D66,F63:F66,$L63:$L66,N63:N66)</f>
        <v>#VALUE!</v>
      </c>
      <c r="X63" s="47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ref="J64:J78" si="15">H64/3600</f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9">
        <f t="shared" ref="R64:R78" si="16">P64/3600</f>
        <v>0</v>
      </c>
      <c r="S64" s="18" t="e">
        <f t="shared" ref="S64:S78" si="17">P64/H64</f>
        <v>#DIV/0!</v>
      </c>
      <c r="T64" s="18" t="e">
        <f t="shared" ref="T64:T78" si="18">Q64/I64</f>
        <v>#DIV/0!</v>
      </c>
      <c r="U64" s="59"/>
      <c r="V64" s="42"/>
      <c r="W64" s="25"/>
      <c r="X64" s="54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5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9">
        <f t="shared" si="16"/>
        <v>0</v>
      </c>
      <c r="S65" s="18" t="e">
        <f t="shared" si="17"/>
        <v>#DIV/0!</v>
      </c>
      <c r="T65" s="18" t="e">
        <f t="shared" si="18"/>
        <v>#DIV/0!</v>
      </c>
      <c r="U65" s="59"/>
      <c r="V65" s="42"/>
      <c r="W65" s="25"/>
      <c r="X65" s="54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5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4">
        <f t="shared" si="16"/>
        <v>0</v>
      </c>
      <c r="S66" s="18" t="e">
        <f t="shared" si="17"/>
        <v>#DIV/0!</v>
      </c>
      <c r="T66" s="18" t="e">
        <f t="shared" si="18"/>
        <v>#DIV/0!</v>
      </c>
      <c r="U66" s="59"/>
      <c r="V66" s="43"/>
      <c r="W66" s="55"/>
      <c r="X66" s="56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5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4">
        <f t="shared" si="16"/>
        <v>0</v>
      </c>
      <c r="S67" s="18" t="e">
        <f t="shared" si="17"/>
        <v>#DIV/0!</v>
      </c>
      <c r="T67" s="18" t="e">
        <f t="shared" si="18"/>
        <v>#DIV/0!</v>
      </c>
      <c r="U67" s="59"/>
      <c r="V67" s="41" t="e">
        <f>bdrate($D67:$D70,E67:E70,$L67:$L70,M67:M70)</f>
        <v>#VALUE!</v>
      </c>
      <c r="W67" s="46" t="e">
        <f>bdrate($D67:$D70,F67:F70,$L67:$L70,N67:N70)</f>
        <v>#VALUE!</v>
      </c>
      <c r="X67" s="46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 x14ac:dyDescent="0.2">
      <c r="A68" s="16"/>
      <c r="B68" s="16"/>
      <c r="C68" s="16">
        <v>27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5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9">
        <f t="shared" si="16"/>
        <v>0</v>
      </c>
      <c r="S68" s="18" t="e">
        <f t="shared" si="17"/>
        <v>#DIV/0!</v>
      </c>
      <c r="T68" s="18" t="e">
        <f t="shared" si="18"/>
        <v>#DIV/0!</v>
      </c>
      <c r="U68" s="59"/>
      <c r="V68" s="42"/>
      <c r="W68" s="25"/>
      <c r="X68" s="25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5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9">
        <f t="shared" si="16"/>
        <v>0</v>
      </c>
      <c r="S69" s="18" t="e">
        <f t="shared" si="17"/>
        <v>#DIV/0!</v>
      </c>
      <c r="T69" s="18" t="e">
        <f t="shared" si="18"/>
        <v>#DIV/0!</v>
      </c>
      <c r="U69" s="59"/>
      <c r="V69" s="42"/>
      <c r="W69" s="25"/>
      <c r="X69" s="25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5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4">
        <f t="shared" si="16"/>
        <v>0</v>
      </c>
      <c r="S70" s="18" t="e">
        <f t="shared" si="17"/>
        <v>#DIV/0!</v>
      </c>
      <c r="T70" s="18" t="e">
        <f t="shared" si="18"/>
        <v>#DIV/0!</v>
      </c>
      <c r="U70" s="59"/>
      <c r="V70" s="43"/>
      <c r="W70" s="55"/>
      <c r="X70" s="55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 t="shared" si="15"/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4">
        <f t="shared" si="16"/>
        <v>0</v>
      </c>
      <c r="S71" s="18" t="e">
        <f t="shared" si="17"/>
        <v>#DIV/0!</v>
      </c>
      <c r="T71" s="18" t="e">
        <f t="shared" si="18"/>
        <v>#DIV/0!</v>
      </c>
      <c r="U71" s="59"/>
      <c r="V71" s="41" t="e">
        <f>bdrate($D71:$D74,E71:E74,$L71:$L74,M71:M74)</f>
        <v>#VALUE!</v>
      </c>
      <c r="W71" s="46" t="e">
        <f>bdrate($D71:$D74,F71:F74,$L71:$L74,N71:N74)</f>
        <v>#VALUE!</v>
      </c>
      <c r="X71" s="46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 x14ac:dyDescent="0.2">
      <c r="A72" s="16"/>
      <c r="B72" s="16"/>
      <c r="C72" s="16">
        <v>27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si="15"/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9">
        <f t="shared" si="16"/>
        <v>0</v>
      </c>
      <c r="S72" s="18" t="e">
        <f t="shared" si="17"/>
        <v>#DIV/0!</v>
      </c>
      <c r="T72" s="18" t="e">
        <f t="shared" si="18"/>
        <v>#DIV/0!</v>
      </c>
      <c r="U72" s="59"/>
      <c r="V72" s="42"/>
      <c r="W72" s="25"/>
      <c r="X72" s="25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9">
        <f t="shared" si="16"/>
        <v>0</v>
      </c>
      <c r="S73" s="18" t="e">
        <f t="shared" si="17"/>
        <v>#DIV/0!</v>
      </c>
      <c r="T73" s="18" t="e">
        <f t="shared" si="18"/>
        <v>#DIV/0!</v>
      </c>
      <c r="U73" s="59"/>
      <c r="V73" s="42"/>
      <c r="W73" s="25"/>
      <c r="X73" s="25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4">
        <f t="shared" si="16"/>
        <v>0</v>
      </c>
      <c r="S74" s="18" t="e">
        <f t="shared" si="17"/>
        <v>#DIV/0!</v>
      </c>
      <c r="T74" s="18" t="e">
        <f t="shared" si="18"/>
        <v>#DIV/0!</v>
      </c>
      <c r="U74" s="59"/>
      <c r="V74" s="43"/>
      <c r="W74" s="55"/>
      <c r="X74" s="55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Reference!B73</f>
        <v>0</v>
      </c>
      <c r="E75" s="13">
        <f>Reference!C73</f>
        <v>0</v>
      </c>
      <c r="F75" s="13">
        <f>Reference!D73</f>
        <v>0</v>
      </c>
      <c r="G75" s="13">
        <f>Reference!E73</f>
        <v>0</v>
      </c>
      <c r="H75" s="13">
        <f>Reference!F73</f>
        <v>0</v>
      </c>
      <c r="I75" s="13">
        <f>Reference!G73</f>
        <v>0</v>
      </c>
      <c r="J75" s="14">
        <f t="shared" si="15"/>
        <v>0</v>
      </c>
      <c r="L75" s="12">
        <f>Test!B73</f>
        <v>0</v>
      </c>
      <c r="M75" s="13">
        <f>Test!C73</f>
        <v>0</v>
      </c>
      <c r="N75" s="13">
        <f>Test!D73</f>
        <v>0</v>
      </c>
      <c r="O75" s="13">
        <f>Test!E73</f>
        <v>0</v>
      </c>
      <c r="P75" s="13">
        <f>Test!F73</f>
        <v>0</v>
      </c>
      <c r="Q75" s="13">
        <f>Test!G73</f>
        <v>0</v>
      </c>
      <c r="R75" s="14">
        <f t="shared" si="16"/>
        <v>0</v>
      </c>
      <c r="S75" s="18" t="e">
        <f t="shared" si="17"/>
        <v>#DIV/0!</v>
      </c>
      <c r="T75" s="18" t="e">
        <f t="shared" si="18"/>
        <v>#DIV/0!</v>
      </c>
      <c r="U75" s="59"/>
      <c r="V75" s="41" t="e">
        <f>bdrate($D75:$D78,E75:E78,$L75:$L78,M75:M78)</f>
        <v>#VALUE!</v>
      </c>
      <c r="W75" s="46" t="e">
        <f>bdrate($D75:$D78,F75:F78,$L75:$L78,N75:N78)</f>
        <v>#VALUE!</v>
      </c>
      <c r="X75" s="46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 x14ac:dyDescent="0.2">
      <c r="A76" s="16"/>
      <c r="B76" s="16"/>
      <c r="C76" s="16">
        <v>27</v>
      </c>
      <c r="D76" s="17">
        <f>Reference!B74</f>
        <v>0</v>
      </c>
      <c r="E76" s="18">
        <f>Reference!C74</f>
        <v>0</v>
      </c>
      <c r="F76" s="18">
        <f>Reference!D74</f>
        <v>0</v>
      </c>
      <c r="G76" s="18">
        <f>Reference!E74</f>
        <v>0</v>
      </c>
      <c r="H76" s="18">
        <f>Reference!F74</f>
        <v>0</v>
      </c>
      <c r="I76" s="18">
        <f>Reference!G74</f>
        <v>0</v>
      </c>
      <c r="J76" s="19">
        <f t="shared" si="15"/>
        <v>0</v>
      </c>
      <c r="L76" s="17">
        <f>Test!B74</f>
        <v>0</v>
      </c>
      <c r="M76" s="18">
        <f>Test!C74</f>
        <v>0</v>
      </c>
      <c r="N76" s="18">
        <f>Test!D74</f>
        <v>0</v>
      </c>
      <c r="O76" s="18">
        <f>Test!E74</f>
        <v>0</v>
      </c>
      <c r="P76" s="18">
        <f>Test!F74</f>
        <v>0</v>
      </c>
      <c r="Q76" s="18">
        <f>Test!G74</f>
        <v>0</v>
      </c>
      <c r="R76" s="19">
        <f t="shared" si="16"/>
        <v>0</v>
      </c>
      <c r="S76" s="18" t="e">
        <f t="shared" si="17"/>
        <v>#DIV/0!</v>
      </c>
      <c r="T76" s="18" t="e">
        <f t="shared" si="18"/>
        <v>#DIV/0!</v>
      </c>
      <c r="U76" s="59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Reference!B75</f>
        <v>0</v>
      </c>
      <c r="E77" s="18">
        <f>Reference!C75</f>
        <v>0</v>
      </c>
      <c r="F77" s="18">
        <f>Reference!D75</f>
        <v>0</v>
      </c>
      <c r="G77" s="18">
        <f>Reference!E75</f>
        <v>0</v>
      </c>
      <c r="H77" s="18">
        <f>Reference!F75</f>
        <v>0</v>
      </c>
      <c r="I77" s="18">
        <f>Reference!G75</f>
        <v>0</v>
      </c>
      <c r="J77" s="19">
        <f t="shared" si="15"/>
        <v>0</v>
      </c>
      <c r="L77" s="17">
        <f>Test!B75</f>
        <v>0</v>
      </c>
      <c r="M77" s="18">
        <f>Test!C75</f>
        <v>0</v>
      </c>
      <c r="N77" s="18">
        <f>Test!D75</f>
        <v>0</v>
      </c>
      <c r="O77" s="18">
        <f>Test!E75</f>
        <v>0</v>
      </c>
      <c r="P77" s="18">
        <f>Test!F75</f>
        <v>0</v>
      </c>
      <c r="Q77" s="18">
        <f>Test!G75</f>
        <v>0</v>
      </c>
      <c r="R77" s="19">
        <f t="shared" si="16"/>
        <v>0</v>
      </c>
      <c r="S77" s="18" t="e">
        <f t="shared" si="17"/>
        <v>#DIV/0!</v>
      </c>
      <c r="T77" s="18" t="e">
        <f t="shared" si="18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Reference!B76</f>
        <v>0</v>
      </c>
      <c r="E78" s="23">
        <f>Reference!C76</f>
        <v>0</v>
      </c>
      <c r="F78" s="23">
        <f>Reference!D76</f>
        <v>0</v>
      </c>
      <c r="G78" s="23">
        <f>Reference!E76</f>
        <v>0</v>
      </c>
      <c r="H78" s="23">
        <f>Reference!F76</f>
        <v>0</v>
      </c>
      <c r="I78" s="23">
        <f>Reference!G76</f>
        <v>0</v>
      </c>
      <c r="J78" s="24">
        <f t="shared" si="15"/>
        <v>0</v>
      </c>
      <c r="L78" s="22">
        <f>Test!B76</f>
        <v>0</v>
      </c>
      <c r="M78" s="23">
        <f>Test!C76</f>
        <v>0</v>
      </c>
      <c r="N78" s="23">
        <f>Test!D76</f>
        <v>0</v>
      </c>
      <c r="O78" s="23">
        <f>Test!E76</f>
        <v>0</v>
      </c>
      <c r="P78" s="23">
        <f>Test!F76</f>
        <v>0</v>
      </c>
      <c r="Q78" s="23">
        <f>Test!G76</f>
        <v>0</v>
      </c>
      <c r="R78" s="24">
        <f t="shared" si="16"/>
        <v>0</v>
      </c>
      <c r="S78" s="23" t="e">
        <f t="shared" si="17"/>
        <v>#DIV/0!</v>
      </c>
      <c r="T78" s="23" t="e">
        <f t="shared" si="18"/>
        <v>#DIV/0!</v>
      </c>
      <c r="U78" s="60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>
        <f>Reference!B77</f>
        <v>0</v>
      </c>
      <c r="E79" s="13">
        <f>Reference!C77</f>
        <v>0</v>
      </c>
      <c r="F79" s="13">
        <f>Reference!D77</f>
        <v>0</v>
      </c>
      <c r="G79" s="13">
        <f>Reference!E77</f>
        <v>0</v>
      </c>
      <c r="H79" s="13">
        <f>Reference!F77</f>
        <v>0</v>
      </c>
      <c r="I79" s="13">
        <f>Reference!G77</f>
        <v>0</v>
      </c>
      <c r="J79" s="14">
        <f>H79/3600</f>
        <v>0</v>
      </c>
      <c r="L79" s="12">
        <f>Test!B77</f>
        <v>0</v>
      </c>
      <c r="M79" s="13">
        <f>Test!C77</f>
        <v>0</v>
      </c>
      <c r="N79" s="13">
        <f>Test!D77</f>
        <v>0</v>
      </c>
      <c r="O79" s="13">
        <f>Test!E77</f>
        <v>0</v>
      </c>
      <c r="P79" s="13">
        <f>Test!F77</f>
        <v>0</v>
      </c>
      <c r="Q79" s="13">
        <f>Test!G77</f>
        <v>0</v>
      </c>
      <c r="R79" s="14">
        <f>P79/3600</f>
        <v>0</v>
      </c>
      <c r="S79" s="13" t="e">
        <f>P79/H79</f>
        <v>#DIV/0!</v>
      </c>
      <c r="T79" s="13" t="e">
        <f>Q79/I79</f>
        <v>#DIV/0!</v>
      </c>
      <c r="U79" s="58"/>
      <c r="V79" s="41" t="e">
        <f>bdrate($D79:$D82,E79:E82,$L79:$L82,M79:M82)</f>
        <v>#VALUE!</v>
      </c>
      <c r="W79" s="46" t="e">
        <f>bdrate($D79:$D82,F79:F82,$L79:$L82,N79:N82)</f>
        <v>#VALUE!</v>
      </c>
      <c r="X79" s="47" t="e">
        <f>bdrate($D79:$D82,G79:G82,$L79:$L82,O79:O82)</f>
        <v>#VALUE!</v>
      </c>
      <c r="Y79" s="41" t="e">
        <f>bdrateOld($D79:$D82,E79:E82,$L79:$L82,M79:M82)</f>
        <v>#VALUE!</v>
      </c>
      <c r="Z79" s="46" t="e">
        <f>bdrateOld($D79:$D82,F79:F82,$L79:$L82,N79:N82)</f>
        <v>#VALUE!</v>
      </c>
      <c r="AA79" s="47" t="e">
        <f>bdrateOld($D79:$D82,G79:G82,$L79:$L82,O79:O82)</f>
        <v>#VALUE!</v>
      </c>
    </row>
    <row r="80" spans="1:27" x14ac:dyDescent="0.2">
      <c r="A80" s="16" t="s">
        <v>49</v>
      </c>
      <c r="B80" s="16"/>
      <c r="C80" s="16">
        <v>27</v>
      </c>
      <c r="D80" s="17">
        <f>Reference!B78</f>
        <v>0</v>
      </c>
      <c r="E80" s="18">
        <f>Reference!C78</f>
        <v>0</v>
      </c>
      <c r="F80" s="18">
        <f>Reference!D78</f>
        <v>0</v>
      </c>
      <c r="G80" s="18">
        <f>Reference!E78</f>
        <v>0</v>
      </c>
      <c r="H80" s="18">
        <f>Reference!F78</f>
        <v>0</v>
      </c>
      <c r="I80" s="18">
        <f>Reference!G78</f>
        <v>0</v>
      </c>
      <c r="J80" s="19">
        <f t="shared" ref="J80:J90" si="19">H80/3600</f>
        <v>0</v>
      </c>
      <c r="L80" s="17">
        <f>Test!B78</f>
        <v>0</v>
      </c>
      <c r="M80" s="18">
        <f>Test!C78</f>
        <v>0</v>
      </c>
      <c r="N80" s="18">
        <f>Test!D78</f>
        <v>0</v>
      </c>
      <c r="O80" s="18">
        <f>Test!E78</f>
        <v>0</v>
      </c>
      <c r="P80" s="18">
        <f>Test!F78</f>
        <v>0</v>
      </c>
      <c r="Q80" s="18">
        <f>Test!G78</f>
        <v>0</v>
      </c>
      <c r="R80" s="19">
        <f t="shared" ref="R80:R90" si="20">P80/3600</f>
        <v>0</v>
      </c>
      <c r="S80" s="18" t="e">
        <f t="shared" ref="S80:S90" si="21">P80/H80</f>
        <v>#DIV/0!</v>
      </c>
      <c r="T80" s="18" t="e">
        <f t="shared" ref="T80:T90" si="22">Q80/I80</f>
        <v>#DIV/0!</v>
      </c>
      <c r="U80" s="59"/>
      <c r="V80" s="42"/>
      <c r="W80" s="25"/>
      <c r="X80" s="54"/>
      <c r="Y80" s="42"/>
      <c r="Z80" s="25"/>
      <c r="AA80" s="54"/>
    </row>
    <row r="81" spans="1:27" x14ac:dyDescent="0.2">
      <c r="A81" s="16"/>
      <c r="B81" s="16"/>
      <c r="C81" s="16">
        <v>32</v>
      </c>
      <c r="D81" s="17">
        <f>Reference!B79</f>
        <v>0</v>
      </c>
      <c r="E81" s="18">
        <f>Reference!C79</f>
        <v>0</v>
      </c>
      <c r="F81" s="18">
        <f>Reference!D79</f>
        <v>0</v>
      </c>
      <c r="G81" s="18">
        <f>Reference!E79</f>
        <v>0</v>
      </c>
      <c r="H81" s="18">
        <f>Reference!F79</f>
        <v>0</v>
      </c>
      <c r="I81" s="18">
        <f>Reference!G79</f>
        <v>0</v>
      </c>
      <c r="J81" s="19">
        <f t="shared" si="19"/>
        <v>0</v>
      </c>
      <c r="L81" s="17">
        <f>Test!B79</f>
        <v>0</v>
      </c>
      <c r="M81" s="18">
        <f>Test!C79</f>
        <v>0</v>
      </c>
      <c r="N81" s="18">
        <f>Test!D79</f>
        <v>0</v>
      </c>
      <c r="O81" s="18">
        <f>Test!E79</f>
        <v>0</v>
      </c>
      <c r="P81" s="18">
        <f>Test!F79</f>
        <v>0</v>
      </c>
      <c r="Q81" s="18">
        <f>Test!G79</f>
        <v>0</v>
      </c>
      <c r="R81" s="19">
        <f t="shared" si="20"/>
        <v>0</v>
      </c>
      <c r="S81" s="18" t="e">
        <f t="shared" si="21"/>
        <v>#DIV/0!</v>
      </c>
      <c r="T81" s="18" t="e">
        <f t="shared" si="22"/>
        <v>#DIV/0!</v>
      </c>
      <c r="U81" s="59"/>
      <c r="V81" s="42"/>
      <c r="W81" s="25"/>
      <c r="X81" s="54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>
        <f>Reference!B80</f>
        <v>0</v>
      </c>
      <c r="E82" s="23">
        <f>Reference!C80</f>
        <v>0</v>
      </c>
      <c r="F82" s="23">
        <f>Reference!D80</f>
        <v>0</v>
      </c>
      <c r="G82" s="23">
        <f>Reference!E80</f>
        <v>0</v>
      </c>
      <c r="H82" s="23">
        <f>Reference!F80</f>
        <v>0</v>
      </c>
      <c r="I82" s="23">
        <f>Reference!G80</f>
        <v>0</v>
      </c>
      <c r="J82" s="24">
        <f t="shared" si="19"/>
        <v>0</v>
      </c>
      <c r="L82" s="22">
        <f>Test!B80</f>
        <v>0</v>
      </c>
      <c r="M82" s="23">
        <f>Test!C80</f>
        <v>0</v>
      </c>
      <c r="N82" s="23">
        <f>Test!D80</f>
        <v>0</v>
      </c>
      <c r="O82" s="23">
        <f>Test!E80</f>
        <v>0</v>
      </c>
      <c r="P82" s="23">
        <f>Test!F80</f>
        <v>0</v>
      </c>
      <c r="Q82" s="23">
        <f>Test!G80</f>
        <v>0</v>
      </c>
      <c r="R82" s="24">
        <f t="shared" si="20"/>
        <v>0</v>
      </c>
      <c r="S82" s="18" t="e">
        <f t="shared" si="21"/>
        <v>#DIV/0!</v>
      </c>
      <c r="T82" s="18" t="e">
        <f t="shared" si="22"/>
        <v>#DIV/0!</v>
      </c>
      <c r="U82" s="59"/>
      <c r="V82" s="43"/>
      <c r="W82" s="55"/>
      <c r="X82" s="56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>
        <f>Reference!B81</f>
        <v>0</v>
      </c>
      <c r="E83" s="13">
        <f>Reference!C81</f>
        <v>0</v>
      </c>
      <c r="F83" s="13">
        <f>Reference!D81</f>
        <v>0</v>
      </c>
      <c r="G83" s="13">
        <f>Reference!E81</f>
        <v>0</v>
      </c>
      <c r="H83" s="13">
        <f>Reference!F81</f>
        <v>0</v>
      </c>
      <c r="I83" s="13">
        <f>Reference!G81</f>
        <v>0</v>
      </c>
      <c r="J83" s="14">
        <f t="shared" si="19"/>
        <v>0</v>
      </c>
      <c r="L83" s="12">
        <f>Test!B81</f>
        <v>0</v>
      </c>
      <c r="M83" s="13">
        <f>Test!C81</f>
        <v>0</v>
      </c>
      <c r="N83" s="13">
        <f>Test!D81</f>
        <v>0</v>
      </c>
      <c r="O83" s="13">
        <f>Test!E81</f>
        <v>0</v>
      </c>
      <c r="P83" s="13">
        <f>Test!F81</f>
        <v>0</v>
      </c>
      <c r="Q83" s="13">
        <f>Test!G81</f>
        <v>0</v>
      </c>
      <c r="R83" s="14">
        <f t="shared" si="20"/>
        <v>0</v>
      </c>
      <c r="S83" s="18" t="e">
        <f t="shared" si="21"/>
        <v>#DIV/0!</v>
      </c>
      <c r="T83" s="18" t="e">
        <f t="shared" si="22"/>
        <v>#DIV/0!</v>
      </c>
      <c r="U83" s="59"/>
      <c r="V83" s="41" t="e">
        <f>bdrate($D83:$D86,E83:E86,$L83:$L86,M83:M86)</f>
        <v>#VALUE!</v>
      </c>
      <c r="W83" s="46" t="e">
        <f>bdrate($D83:$D86,F83:F86,$L83:$L86,N83:N86)</f>
        <v>#VALUE!</v>
      </c>
      <c r="X83" s="46" t="e">
        <f>bdrate($D83:$D86,G83:G86,$L83:$L86,O83:O86)</f>
        <v>#VALUE!</v>
      </c>
      <c r="Y83" s="44" t="e">
        <f>bdrateOld($D83:$D86,E83:E86,$L83:$L86,M83:M86)</f>
        <v>#VALUE!</v>
      </c>
      <c r="Z83" s="48" t="e">
        <f>bdrateOld($D83:$D86,F83:F86,$L83:$L86,N83:N86)</f>
        <v>#VALUE!</v>
      </c>
      <c r="AA83" s="49" t="e">
        <f>bdrateOld($D83:$D86,G83:G86,$L83:$L86,O83:O86)</f>
        <v>#VALUE!</v>
      </c>
    </row>
    <row r="84" spans="1:27" x14ac:dyDescent="0.2">
      <c r="A84" s="16"/>
      <c r="B84" s="16"/>
      <c r="C84" s="16">
        <v>27</v>
      </c>
      <c r="D84" s="17">
        <f>Reference!B82</f>
        <v>0</v>
      </c>
      <c r="E84" s="18">
        <f>Reference!C82</f>
        <v>0</v>
      </c>
      <c r="F84" s="18">
        <f>Reference!D82</f>
        <v>0</v>
      </c>
      <c r="G84" s="18">
        <f>Reference!E82</f>
        <v>0</v>
      </c>
      <c r="H84" s="18">
        <f>Reference!F82</f>
        <v>0</v>
      </c>
      <c r="I84" s="18">
        <f>Reference!G82</f>
        <v>0</v>
      </c>
      <c r="J84" s="19">
        <f t="shared" si="19"/>
        <v>0</v>
      </c>
      <c r="L84" s="17">
        <f>Test!B82</f>
        <v>0</v>
      </c>
      <c r="M84" s="18">
        <f>Test!C82</f>
        <v>0</v>
      </c>
      <c r="N84" s="18">
        <f>Test!D82</f>
        <v>0</v>
      </c>
      <c r="O84" s="18">
        <f>Test!E82</f>
        <v>0</v>
      </c>
      <c r="P84" s="18">
        <f>Test!F82</f>
        <v>0</v>
      </c>
      <c r="Q84" s="18">
        <f>Test!G82</f>
        <v>0</v>
      </c>
      <c r="R84" s="19">
        <f t="shared" si="20"/>
        <v>0</v>
      </c>
      <c r="S84" s="18" t="e">
        <f t="shared" si="21"/>
        <v>#DIV/0!</v>
      </c>
      <c r="T84" s="18" t="e">
        <f t="shared" si="22"/>
        <v>#DIV/0!</v>
      </c>
      <c r="U84" s="59"/>
      <c r="V84" s="42"/>
      <c r="W84" s="25"/>
      <c r="X84" s="25"/>
      <c r="Y84" s="42"/>
      <c r="Z84" s="25"/>
      <c r="AA84" s="54"/>
    </row>
    <row r="85" spans="1:27" x14ac:dyDescent="0.2">
      <c r="A85" s="16"/>
      <c r="B85" s="16"/>
      <c r="C85" s="16">
        <v>32</v>
      </c>
      <c r="D85" s="17">
        <f>Reference!B83</f>
        <v>0</v>
      </c>
      <c r="E85" s="18">
        <f>Reference!C83</f>
        <v>0</v>
      </c>
      <c r="F85" s="18">
        <f>Reference!D83</f>
        <v>0</v>
      </c>
      <c r="G85" s="18">
        <f>Reference!E83</f>
        <v>0</v>
      </c>
      <c r="H85" s="18">
        <f>Reference!F83</f>
        <v>0</v>
      </c>
      <c r="I85" s="18">
        <f>Reference!G83</f>
        <v>0</v>
      </c>
      <c r="J85" s="19">
        <f t="shared" si="19"/>
        <v>0</v>
      </c>
      <c r="L85" s="17">
        <f>Test!B83</f>
        <v>0</v>
      </c>
      <c r="M85" s="18">
        <f>Test!C83</f>
        <v>0</v>
      </c>
      <c r="N85" s="18">
        <f>Test!D83</f>
        <v>0</v>
      </c>
      <c r="O85" s="18">
        <f>Test!E83</f>
        <v>0</v>
      </c>
      <c r="P85" s="18">
        <f>Test!F83</f>
        <v>0</v>
      </c>
      <c r="Q85" s="18">
        <f>Test!G83</f>
        <v>0</v>
      </c>
      <c r="R85" s="19">
        <f t="shared" si="20"/>
        <v>0</v>
      </c>
      <c r="S85" s="18" t="e">
        <f t="shared" si="21"/>
        <v>#DIV/0!</v>
      </c>
      <c r="T85" s="18" t="e">
        <f t="shared" si="22"/>
        <v>#DIV/0!</v>
      </c>
      <c r="U85" s="59"/>
      <c r="V85" s="42"/>
      <c r="W85" s="25"/>
      <c r="X85" s="25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>
        <f>Reference!B84</f>
        <v>0</v>
      </c>
      <c r="E86" s="23">
        <f>Reference!C84</f>
        <v>0</v>
      </c>
      <c r="F86" s="23">
        <f>Reference!D84</f>
        <v>0</v>
      </c>
      <c r="G86" s="23">
        <f>Reference!E84</f>
        <v>0</v>
      </c>
      <c r="H86" s="23">
        <f>Reference!F84</f>
        <v>0</v>
      </c>
      <c r="I86" s="23">
        <f>Reference!G84</f>
        <v>0</v>
      </c>
      <c r="J86" s="24">
        <f t="shared" si="19"/>
        <v>0</v>
      </c>
      <c r="L86" s="22">
        <f>Test!B84</f>
        <v>0</v>
      </c>
      <c r="M86" s="23">
        <f>Test!C84</f>
        <v>0</v>
      </c>
      <c r="N86" s="23">
        <f>Test!D84</f>
        <v>0</v>
      </c>
      <c r="O86" s="23">
        <f>Test!E84</f>
        <v>0</v>
      </c>
      <c r="P86" s="23">
        <f>Test!F84</f>
        <v>0</v>
      </c>
      <c r="Q86" s="23">
        <f>Test!G84</f>
        <v>0</v>
      </c>
      <c r="R86" s="24">
        <f t="shared" si="20"/>
        <v>0</v>
      </c>
      <c r="S86" s="18" t="e">
        <f t="shared" si="21"/>
        <v>#DIV/0!</v>
      </c>
      <c r="T86" s="18" t="e">
        <f t="shared" si="22"/>
        <v>#DIV/0!</v>
      </c>
      <c r="U86" s="59"/>
      <c r="V86" s="43"/>
      <c r="W86" s="55"/>
      <c r="X86" s="55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>
        <f>Reference!B85</f>
        <v>0</v>
      </c>
      <c r="E87" s="13">
        <f>Reference!C85</f>
        <v>0</v>
      </c>
      <c r="F87" s="13">
        <f>Reference!D85</f>
        <v>0</v>
      </c>
      <c r="G87" s="13">
        <f>Reference!E85</f>
        <v>0</v>
      </c>
      <c r="H87" s="13">
        <f>Reference!F85</f>
        <v>0</v>
      </c>
      <c r="I87" s="13">
        <f>Reference!G85</f>
        <v>0</v>
      </c>
      <c r="J87" s="14">
        <f t="shared" si="19"/>
        <v>0</v>
      </c>
      <c r="L87" s="12">
        <f>Test!B85</f>
        <v>0</v>
      </c>
      <c r="M87" s="13">
        <f>Test!C85</f>
        <v>0</v>
      </c>
      <c r="N87" s="13">
        <f>Test!D85</f>
        <v>0</v>
      </c>
      <c r="O87" s="13">
        <f>Test!E85</f>
        <v>0</v>
      </c>
      <c r="P87" s="13">
        <f>Test!F85</f>
        <v>0</v>
      </c>
      <c r="Q87" s="13">
        <f>Test!G85</f>
        <v>0</v>
      </c>
      <c r="R87" s="14">
        <f t="shared" si="20"/>
        <v>0</v>
      </c>
      <c r="S87" s="18" t="e">
        <f t="shared" si="21"/>
        <v>#DIV/0!</v>
      </c>
      <c r="T87" s="18" t="e">
        <f t="shared" si="22"/>
        <v>#DIV/0!</v>
      </c>
      <c r="U87" s="59"/>
      <c r="V87" s="41" t="e">
        <f>bdrate($D87:$D90,E87:E90,$L87:$L90,M87:M90)</f>
        <v>#VALUE!</v>
      </c>
      <c r="W87" s="46" t="e">
        <f>bdrate($D87:$D90,F87:F90,$L87:$L90,N87:N90)</f>
        <v>#VALUE!</v>
      </c>
      <c r="X87" s="46" t="e">
        <f>bdrate($D87:$D90,G87:G90,$L87:$L90,O87:O90)</f>
        <v>#VALUE!</v>
      </c>
      <c r="Y87" s="44" t="e">
        <f>bdrateOld($D87:$D90,E87:E90,$L87:$L90,M87:M90)</f>
        <v>#VALUE!</v>
      </c>
      <c r="Z87" s="48" t="e">
        <f>bdrateOld($D87:$D90,F87:F90,$L87:$L90,N87:N90)</f>
        <v>#VALUE!</v>
      </c>
      <c r="AA87" s="49" t="e">
        <f>bdrateOld($D87:$D90,G87:G90,$L87:$L90,O87:O90)</f>
        <v>#VALUE!</v>
      </c>
    </row>
    <row r="88" spans="1:27" x14ac:dyDescent="0.2">
      <c r="A88" s="16"/>
      <c r="B88" s="16"/>
      <c r="C88" s="16">
        <v>27</v>
      </c>
      <c r="D88" s="17">
        <f>Reference!B86</f>
        <v>0</v>
      </c>
      <c r="E88" s="18">
        <f>Reference!C86</f>
        <v>0</v>
      </c>
      <c r="F88" s="18">
        <f>Reference!D86</f>
        <v>0</v>
      </c>
      <c r="G88" s="18">
        <f>Reference!E86</f>
        <v>0</v>
      </c>
      <c r="H88" s="18">
        <f>Reference!F86</f>
        <v>0</v>
      </c>
      <c r="I88" s="18">
        <f>Reference!G86</f>
        <v>0</v>
      </c>
      <c r="J88" s="19">
        <f t="shared" si="19"/>
        <v>0</v>
      </c>
      <c r="L88" s="17">
        <f>Test!B86</f>
        <v>0</v>
      </c>
      <c r="M88" s="18">
        <f>Test!C86</f>
        <v>0</v>
      </c>
      <c r="N88" s="18">
        <f>Test!D86</f>
        <v>0</v>
      </c>
      <c r="O88" s="18">
        <f>Test!E86</f>
        <v>0</v>
      </c>
      <c r="P88" s="18">
        <f>Test!F86</f>
        <v>0</v>
      </c>
      <c r="Q88" s="18">
        <f>Test!G86</f>
        <v>0</v>
      </c>
      <c r="R88" s="19">
        <f t="shared" si="20"/>
        <v>0</v>
      </c>
      <c r="S88" s="18" t="e">
        <f t="shared" si="21"/>
        <v>#DIV/0!</v>
      </c>
      <c r="T88" s="18" t="e">
        <f t="shared" si="22"/>
        <v>#DIV/0!</v>
      </c>
      <c r="U88" s="59"/>
      <c r="V88" s="42"/>
      <c r="W88" s="25"/>
      <c r="X88" s="25"/>
      <c r="Y88" s="42"/>
      <c r="Z88" s="25"/>
      <c r="AA88" s="54"/>
    </row>
    <row r="89" spans="1:27" x14ac:dyDescent="0.2">
      <c r="A89" s="16"/>
      <c r="B89" s="16"/>
      <c r="C89" s="16">
        <v>32</v>
      </c>
      <c r="D89" s="17">
        <f>Reference!B87</f>
        <v>0</v>
      </c>
      <c r="E89" s="18">
        <f>Reference!C87</f>
        <v>0</v>
      </c>
      <c r="F89" s="18">
        <f>Reference!D87</f>
        <v>0</v>
      </c>
      <c r="G89" s="18">
        <f>Reference!E87</f>
        <v>0</v>
      </c>
      <c r="H89" s="18">
        <f>Reference!F87</f>
        <v>0</v>
      </c>
      <c r="I89" s="18">
        <f>Reference!G87</f>
        <v>0</v>
      </c>
      <c r="J89" s="19">
        <f t="shared" si="19"/>
        <v>0</v>
      </c>
      <c r="L89" s="17">
        <f>Test!B87</f>
        <v>0</v>
      </c>
      <c r="M89" s="18">
        <f>Test!C87</f>
        <v>0</v>
      </c>
      <c r="N89" s="18">
        <f>Test!D87</f>
        <v>0</v>
      </c>
      <c r="O89" s="18">
        <f>Test!E87</f>
        <v>0</v>
      </c>
      <c r="P89" s="18">
        <f>Test!F87</f>
        <v>0</v>
      </c>
      <c r="Q89" s="18">
        <f>Test!G87</f>
        <v>0</v>
      </c>
      <c r="R89" s="19">
        <f t="shared" si="20"/>
        <v>0</v>
      </c>
      <c r="S89" s="18" t="e">
        <f t="shared" si="21"/>
        <v>#DIV/0!</v>
      </c>
      <c r="T89" s="18" t="e">
        <f t="shared" si="22"/>
        <v>#DIV/0!</v>
      </c>
      <c r="U89" s="59"/>
      <c r="V89" s="42"/>
      <c r="W89" s="25"/>
      <c r="X89" s="25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>
        <f>Reference!B88</f>
        <v>0</v>
      </c>
      <c r="E90" s="23">
        <f>Reference!C88</f>
        <v>0</v>
      </c>
      <c r="F90" s="23">
        <f>Reference!D88</f>
        <v>0</v>
      </c>
      <c r="G90" s="23">
        <f>Reference!E88</f>
        <v>0</v>
      </c>
      <c r="H90" s="23">
        <f>Reference!F88</f>
        <v>0</v>
      </c>
      <c r="I90" s="23">
        <f>Reference!G88</f>
        <v>0</v>
      </c>
      <c r="J90" s="24">
        <f t="shared" si="19"/>
        <v>0</v>
      </c>
      <c r="L90" s="22">
        <f>Test!B88</f>
        <v>0</v>
      </c>
      <c r="M90" s="23">
        <f>Test!C88</f>
        <v>0</v>
      </c>
      <c r="N90" s="23">
        <f>Test!D88</f>
        <v>0</v>
      </c>
      <c r="O90" s="23">
        <f>Test!E88</f>
        <v>0</v>
      </c>
      <c r="P90" s="23">
        <f>Test!F88</f>
        <v>0</v>
      </c>
      <c r="Q90" s="23">
        <f>Test!G88</f>
        <v>0</v>
      </c>
      <c r="R90" s="24">
        <f t="shared" si="20"/>
        <v>0</v>
      </c>
      <c r="S90" s="18" t="e">
        <f t="shared" si="21"/>
        <v>#DIV/0!</v>
      </c>
      <c r="T90" s="18" t="e">
        <f t="shared" si="22"/>
        <v>#DIV/0!</v>
      </c>
      <c r="U90" s="59"/>
      <c r="V90" s="43"/>
      <c r="W90" s="55"/>
      <c r="X90" s="55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Reference!B89</f>
        <v>0</v>
      </c>
      <c r="E91" s="13">
        <f>Reference!C89</f>
        <v>0</v>
      </c>
      <c r="F91" s="13">
        <f>Reference!D89</f>
        <v>0</v>
      </c>
      <c r="G91" s="13">
        <f>Reference!E89</f>
        <v>0</v>
      </c>
      <c r="H91" s="13">
        <f>Reference!F89</f>
        <v>0</v>
      </c>
      <c r="I91" s="13">
        <f>Reference!G89</f>
        <v>0</v>
      </c>
      <c r="J91" s="14">
        <f>H91/3600</f>
        <v>0</v>
      </c>
      <c r="L91" s="12">
        <f>Test!B89</f>
        <v>0</v>
      </c>
      <c r="M91" s="13">
        <f>Test!C89</f>
        <v>0</v>
      </c>
      <c r="N91" s="13">
        <f>Test!D89</f>
        <v>0</v>
      </c>
      <c r="O91" s="13">
        <f>Test!E89</f>
        <v>0</v>
      </c>
      <c r="P91" s="13">
        <f>Test!F89</f>
        <v>0</v>
      </c>
      <c r="Q91" s="13">
        <f>Test!G89</f>
        <v>0</v>
      </c>
      <c r="R91" s="14">
        <f>P91/3600</f>
        <v>0</v>
      </c>
      <c r="S91" s="13" t="e">
        <f>P91/H91</f>
        <v>#DIV/0!</v>
      </c>
      <c r="T91" s="13" t="e">
        <f>Q91/I91</f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 x14ac:dyDescent="0.2">
      <c r="A92" s="35"/>
      <c r="B92" s="35"/>
      <c r="C92" s="35">
        <v>27</v>
      </c>
      <c r="D92" s="17">
        <f>Reference!B90</f>
        <v>0</v>
      </c>
      <c r="E92" s="18">
        <f>Reference!C90</f>
        <v>0</v>
      </c>
      <c r="F92" s="18">
        <f>Reference!D90</f>
        <v>0</v>
      </c>
      <c r="G92" s="18">
        <f>Reference!E90</f>
        <v>0</v>
      </c>
      <c r="H92" s="18">
        <f>Reference!F90</f>
        <v>0</v>
      </c>
      <c r="I92" s="18">
        <f>Reference!G90</f>
        <v>0</v>
      </c>
      <c r="J92" s="19">
        <f t="shared" ref="J92:J106" si="23">H92/3600</f>
        <v>0</v>
      </c>
      <c r="L92" s="17">
        <f>Test!B90</f>
        <v>0</v>
      </c>
      <c r="M92" s="18">
        <f>Test!C90</f>
        <v>0</v>
      </c>
      <c r="N92" s="18">
        <f>Test!D90</f>
        <v>0</v>
      </c>
      <c r="O92" s="18">
        <f>Test!E90</f>
        <v>0</v>
      </c>
      <c r="P92" s="18">
        <f>Test!F90</f>
        <v>0</v>
      </c>
      <c r="Q92" s="18">
        <f>Test!G90</f>
        <v>0</v>
      </c>
      <c r="R92" s="19">
        <f t="shared" ref="R92:R106" si="24">P92/3600</f>
        <v>0</v>
      </c>
      <c r="S92" s="18" t="e">
        <f t="shared" ref="S92:S106" si="25">P92/H92</f>
        <v>#DIV/0!</v>
      </c>
      <c r="T92" s="18" t="e">
        <f t="shared" ref="T92:T106" si="26">Q92/I92</f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Reference!B91</f>
        <v>0</v>
      </c>
      <c r="E93" s="18">
        <f>Reference!C91</f>
        <v>0</v>
      </c>
      <c r="F93" s="18">
        <f>Reference!D91</f>
        <v>0</v>
      </c>
      <c r="G93" s="18">
        <f>Reference!E91</f>
        <v>0</v>
      </c>
      <c r="H93" s="18">
        <f>Reference!F91</f>
        <v>0</v>
      </c>
      <c r="I93" s="18">
        <f>Reference!G91</f>
        <v>0</v>
      </c>
      <c r="J93" s="19">
        <f t="shared" si="23"/>
        <v>0</v>
      </c>
      <c r="L93" s="17">
        <f>Test!B91</f>
        <v>0</v>
      </c>
      <c r="M93" s="18">
        <f>Test!C91</f>
        <v>0</v>
      </c>
      <c r="N93" s="18">
        <f>Test!D91</f>
        <v>0</v>
      </c>
      <c r="O93" s="18">
        <f>Test!E91</f>
        <v>0</v>
      </c>
      <c r="P93" s="18">
        <f>Test!F91</f>
        <v>0</v>
      </c>
      <c r="Q93" s="18">
        <f>Test!G91</f>
        <v>0</v>
      </c>
      <c r="R93" s="19">
        <f t="shared" si="24"/>
        <v>0</v>
      </c>
      <c r="S93" s="18" t="e">
        <f t="shared" si="25"/>
        <v>#DIV/0!</v>
      </c>
      <c r="T93" s="18" t="e">
        <f t="shared" si="26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Reference!B92</f>
        <v>0</v>
      </c>
      <c r="E94" s="23">
        <f>Reference!C92</f>
        <v>0</v>
      </c>
      <c r="F94" s="23">
        <f>Reference!D92</f>
        <v>0</v>
      </c>
      <c r="G94" s="23">
        <f>Reference!E92</f>
        <v>0</v>
      </c>
      <c r="H94" s="23">
        <f>Reference!F92</f>
        <v>0</v>
      </c>
      <c r="I94" s="23">
        <f>Reference!G92</f>
        <v>0</v>
      </c>
      <c r="J94" s="24">
        <f t="shared" si="23"/>
        <v>0</v>
      </c>
      <c r="L94" s="22">
        <f>Test!B92</f>
        <v>0</v>
      </c>
      <c r="M94" s="23">
        <f>Test!C92</f>
        <v>0</v>
      </c>
      <c r="N94" s="23">
        <f>Test!D92</f>
        <v>0</v>
      </c>
      <c r="O94" s="23">
        <f>Test!E92</f>
        <v>0</v>
      </c>
      <c r="P94" s="23">
        <f>Test!F92</f>
        <v>0</v>
      </c>
      <c r="Q94" s="23">
        <f>Test!G92</f>
        <v>0</v>
      </c>
      <c r="R94" s="24">
        <f t="shared" si="24"/>
        <v>0</v>
      </c>
      <c r="S94" s="18" t="e">
        <f t="shared" si="25"/>
        <v>#DIV/0!</v>
      </c>
      <c r="T94" s="18" t="e">
        <f t="shared" si="26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Reference!B97</f>
        <v>0</v>
      </c>
      <c r="E95" s="13">
        <f>Reference!C97</f>
        <v>0</v>
      </c>
      <c r="F95" s="13">
        <f>Reference!D97</f>
        <v>0</v>
      </c>
      <c r="G95" s="13">
        <f>Reference!E97</f>
        <v>0</v>
      </c>
      <c r="H95" s="13">
        <f>Reference!F97</f>
        <v>0</v>
      </c>
      <c r="I95" s="13">
        <f>Reference!G93</f>
        <v>0</v>
      </c>
      <c r="J95" s="14">
        <f t="shared" si="23"/>
        <v>0</v>
      </c>
      <c r="L95" s="12">
        <f>Test!B93</f>
        <v>0</v>
      </c>
      <c r="M95" s="13">
        <f>Test!C93</f>
        <v>0</v>
      </c>
      <c r="N95" s="13">
        <f>Test!D93</f>
        <v>0</v>
      </c>
      <c r="O95" s="13">
        <f>Test!E93</f>
        <v>0</v>
      </c>
      <c r="P95" s="13">
        <f>Test!F93</f>
        <v>0</v>
      </c>
      <c r="Q95" s="13">
        <f>Test!G93</f>
        <v>0</v>
      </c>
      <c r="R95" s="14">
        <f t="shared" si="24"/>
        <v>0</v>
      </c>
      <c r="S95" s="18" t="e">
        <f t="shared" si="25"/>
        <v>#DIV/0!</v>
      </c>
      <c r="T95" s="18" t="e">
        <f t="shared" si="26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 x14ac:dyDescent="0.2">
      <c r="A96" s="35"/>
      <c r="B96" s="35"/>
      <c r="C96" s="35">
        <v>27</v>
      </c>
      <c r="D96" s="17">
        <f>Reference!B98</f>
        <v>0</v>
      </c>
      <c r="E96" s="18">
        <f>Reference!C98</f>
        <v>0</v>
      </c>
      <c r="F96" s="18">
        <f>Reference!D98</f>
        <v>0</v>
      </c>
      <c r="G96" s="18">
        <f>Reference!E98</f>
        <v>0</v>
      </c>
      <c r="H96" s="18">
        <f>Reference!F98</f>
        <v>0</v>
      </c>
      <c r="I96" s="18">
        <f>Reference!G94</f>
        <v>0</v>
      </c>
      <c r="J96" s="19">
        <f t="shared" si="23"/>
        <v>0</v>
      </c>
      <c r="L96" s="17">
        <f>Test!B94</f>
        <v>0</v>
      </c>
      <c r="M96" s="18">
        <f>Test!C94</f>
        <v>0</v>
      </c>
      <c r="N96" s="18">
        <f>Test!D94</f>
        <v>0</v>
      </c>
      <c r="O96" s="18">
        <f>Test!E94</f>
        <v>0</v>
      </c>
      <c r="P96" s="18">
        <f>Test!F94</f>
        <v>0</v>
      </c>
      <c r="Q96" s="18">
        <f>Test!G94</f>
        <v>0</v>
      </c>
      <c r="R96" s="19">
        <f t="shared" si="24"/>
        <v>0</v>
      </c>
      <c r="S96" s="18" t="e">
        <f t="shared" si="25"/>
        <v>#DIV/0!</v>
      </c>
      <c r="T96" s="18" t="e">
        <f t="shared" si="26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Reference!B99</f>
        <v>0</v>
      </c>
      <c r="E97" s="18">
        <f>Reference!C99</f>
        <v>0</v>
      </c>
      <c r="F97" s="18">
        <f>Reference!D99</f>
        <v>0</v>
      </c>
      <c r="G97" s="18">
        <f>Reference!E99</f>
        <v>0</v>
      </c>
      <c r="H97" s="18">
        <f>Reference!F99</f>
        <v>0</v>
      </c>
      <c r="I97" s="18">
        <f>Reference!G95</f>
        <v>0</v>
      </c>
      <c r="J97" s="19">
        <f t="shared" si="23"/>
        <v>0</v>
      </c>
      <c r="L97" s="17">
        <f>Test!B95</f>
        <v>0</v>
      </c>
      <c r="M97" s="18">
        <f>Test!C95</f>
        <v>0</v>
      </c>
      <c r="N97" s="18">
        <f>Test!D95</f>
        <v>0</v>
      </c>
      <c r="O97" s="18">
        <f>Test!E95</f>
        <v>0</v>
      </c>
      <c r="P97" s="18">
        <f>Test!F95</f>
        <v>0</v>
      </c>
      <c r="Q97" s="18">
        <f>Test!G95</f>
        <v>0</v>
      </c>
      <c r="R97" s="19">
        <f t="shared" si="24"/>
        <v>0</v>
      </c>
      <c r="S97" s="18" t="e">
        <f t="shared" si="25"/>
        <v>#DIV/0!</v>
      </c>
      <c r="T97" s="18" t="e">
        <f t="shared" si="26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Reference!B100</f>
        <v>0</v>
      </c>
      <c r="E98" s="23">
        <f>Reference!C100</f>
        <v>0</v>
      </c>
      <c r="F98" s="23">
        <f>Reference!D100</f>
        <v>0</v>
      </c>
      <c r="G98" s="23">
        <f>Reference!E100</f>
        <v>0</v>
      </c>
      <c r="H98" s="23">
        <f>Reference!F100</f>
        <v>0</v>
      </c>
      <c r="I98" s="23">
        <f>Reference!G96</f>
        <v>0</v>
      </c>
      <c r="J98" s="24">
        <f t="shared" si="23"/>
        <v>0</v>
      </c>
      <c r="L98" s="22">
        <f>Test!B96</f>
        <v>0</v>
      </c>
      <c r="M98" s="23">
        <f>Test!C96</f>
        <v>0</v>
      </c>
      <c r="N98" s="23">
        <f>Test!D96</f>
        <v>0</v>
      </c>
      <c r="O98" s="23">
        <f>Test!E96</f>
        <v>0</v>
      </c>
      <c r="P98" s="23">
        <f>Test!F96</f>
        <v>0</v>
      </c>
      <c r="Q98" s="23">
        <f>Test!G96</f>
        <v>0</v>
      </c>
      <c r="R98" s="24">
        <f t="shared" si="24"/>
        <v>0</v>
      </c>
      <c r="S98" s="18" t="e">
        <f t="shared" si="25"/>
        <v>#DIV/0!</v>
      </c>
      <c r="T98" s="18" t="e">
        <f t="shared" si="26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Reference!B101</f>
        <v>0</v>
      </c>
      <c r="E99" s="13">
        <f>Reference!C101</f>
        <v>0</v>
      </c>
      <c r="F99" s="13">
        <f>Reference!D101</f>
        <v>0</v>
      </c>
      <c r="G99" s="13">
        <f>Reference!E101</f>
        <v>0</v>
      </c>
      <c r="H99" s="13">
        <f>Reference!F101</f>
        <v>0</v>
      </c>
      <c r="I99" s="13">
        <f>Reference!G97</f>
        <v>0</v>
      </c>
      <c r="J99" s="14">
        <f>H99/3600</f>
        <v>0</v>
      </c>
      <c r="L99" s="12">
        <f>Test!B97</f>
        <v>0</v>
      </c>
      <c r="M99" s="13">
        <f>Test!C97</f>
        <v>0</v>
      </c>
      <c r="N99" s="13">
        <f>Test!D97</f>
        <v>0</v>
      </c>
      <c r="O99" s="13">
        <f>Test!E97</f>
        <v>0</v>
      </c>
      <c r="P99" s="13">
        <f>Test!F97</f>
        <v>0</v>
      </c>
      <c r="Q99" s="13">
        <f>Test!G97</f>
        <v>0</v>
      </c>
      <c r="R99" s="14">
        <f t="shared" si="24"/>
        <v>0</v>
      </c>
      <c r="S99" s="18" t="e">
        <f t="shared" si="25"/>
        <v>#DIV/0!</v>
      </c>
      <c r="T99" s="18" t="e">
        <f t="shared" si="26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 x14ac:dyDescent="0.2">
      <c r="A100" s="35"/>
      <c r="B100" s="35"/>
      <c r="C100" s="35">
        <v>27</v>
      </c>
      <c r="D100" s="17">
        <f>Reference!B102</f>
        <v>0</v>
      </c>
      <c r="E100" s="18">
        <f>Reference!C102</f>
        <v>0</v>
      </c>
      <c r="F100" s="18">
        <f>Reference!D102</f>
        <v>0</v>
      </c>
      <c r="G100" s="18">
        <f>Reference!E102</f>
        <v>0</v>
      </c>
      <c r="H100" s="18">
        <f>Reference!F102</f>
        <v>0</v>
      </c>
      <c r="I100" s="18">
        <f>Reference!G98</f>
        <v>0</v>
      </c>
      <c r="J100" s="19">
        <f t="shared" si="23"/>
        <v>0</v>
      </c>
      <c r="L100" s="17">
        <f>Test!B98</f>
        <v>0</v>
      </c>
      <c r="M100" s="18">
        <f>Test!C98</f>
        <v>0</v>
      </c>
      <c r="N100" s="18">
        <f>Test!D98</f>
        <v>0</v>
      </c>
      <c r="O100" s="18">
        <f>Test!E98</f>
        <v>0</v>
      </c>
      <c r="P100" s="18">
        <f>Test!F98</f>
        <v>0</v>
      </c>
      <c r="Q100" s="18">
        <f>Test!G98</f>
        <v>0</v>
      </c>
      <c r="R100" s="19">
        <f t="shared" si="24"/>
        <v>0</v>
      </c>
      <c r="S100" s="18" t="e">
        <f t="shared" si="25"/>
        <v>#DIV/0!</v>
      </c>
      <c r="T100" s="18" t="e">
        <f t="shared" si="26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Reference!B103</f>
        <v>0</v>
      </c>
      <c r="E101" s="18">
        <f>Reference!C103</f>
        <v>0</v>
      </c>
      <c r="F101" s="18">
        <f>Reference!D103</f>
        <v>0</v>
      </c>
      <c r="G101" s="18">
        <f>Reference!E103</f>
        <v>0</v>
      </c>
      <c r="H101" s="18">
        <f>Reference!F103</f>
        <v>0</v>
      </c>
      <c r="I101" s="18">
        <f>Reference!G99</f>
        <v>0</v>
      </c>
      <c r="J101" s="19">
        <f t="shared" si="23"/>
        <v>0</v>
      </c>
      <c r="L101" s="17">
        <f>Test!B99</f>
        <v>0</v>
      </c>
      <c r="M101" s="18">
        <f>Test!C99</f>
        <v>0</v>
      </c>
      <c r="N101" s="18">
        <f>Test!D99</f>
        <v>0</v>
      </c>
      <c r="O101" s="18">
        <f>Test!E99</f>
        <v>0</v>
      </c>
      <c r="P101" s="18">
        <f>Test!F99</f>
        <v>0</v>
      </c>
      <c r="Q101" s="18">
        <f>Test!G99</f>
        <v>0</v>
      </c>
      <c r="R101" s="19">
        <f t="shared" si="24"/>
        <v>0</v>
      </c>
      <c r="S101" s="18" t="e">
        <f t="shared" si="25"/>
        <v>#DIV/0!</v>
      </c>
      <c r="T101" s="18" t="e">
        <f t="shared" si="26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Reference!B104</f>
        <v>0</v>
      </c>
      <c r="E102" s="23">
        <f>Reference!C104</f>
        <v>0</v>
      </c>
      <c r="F102" s="23">
        <f>Reference!D104</f>
        <v>0</v>
      </c>
      <c r="G102" s="23">
        <f>Reference!E104</f>
        <v>0</v>
      </c>
      <c r="H102" s="23">
        <f>Reference!F104</f>
        <v>0</v>
      </c>
      <c r="I102" s="23">
        <f>Reference!G100</f>
        <v>0</v>
      </c>
      <c r="J102" s="24">
        <f t="shared" si="23"/>
        <v>0</v>
      </c>
      <c r="L102" s="22">
        <f>Test!B100</f>
        <v>0</v>
      </c>
      <c r="M102" s="23">
        <f>Test!C100</f>
        <v>0</v>
      </c>
      <c r="N102" s="23">
        <f>Test!D100</f>
        <v>0</v>
      </c>
      <c r="O102" s="23">
        <f>Test!E100</f>
        <v>0</v>
      </c>
      <c r="P102" s="23">
        <f>Test!F100</f>
        <v>0</v>
      </c>
      <c r="Q102" s="23">
        <f>Test!G100</f>
        <v>0</v>
      </c>
      <c r="R102" s="24">
        <f t="shared" si="24"/>
        <v>0</v>
      </c>
      <c r="S102" s="18" t="e">
        <f t="shared" si="25"/>
        <v>#DIV/0!</v>
      </c>
      <c r="T102" s="18" t="e">
        <f t="shared" si="26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Reference!B101</f>
        <v>0</v>
      </c>
      <c r="E103" s="13">
        <f>Reference!C101</f>
        <v>0</v>
      </c>
      <c r="F103" s="13">
        <f>Reference!D101</f>
        <v>0</v>
      </c>
      <c r="G103" s="13">
        <f>Reference!E101</f>
        <v>0</v>
      </c>
      <c r="H103" s="13">
        <f>Reference!F101</f>
        <v>0</v>
      </c>
      <c r="I103" s="13">
        <f>Reference!G101</f>
        <v>0</v>
      </c>
      <c r="J103" s="14">
        <f t="shared" si="23"/>
        <v>0</v>
      </c>
      <c r="L103" s="12">
        <f>Test!B101</f>
        <v>0</v>
      </c>
      <c r="M103" s="13">
        <f>Test!C101</f>
        <v>0</v>
      </c>
      <c r="N103" s="13">
        <f>Test!D101</f>
        <v>0</v>
      </c>
      <c r="O103" s="13">
        <f>Test!E101</f>
        <v>0</v>
      </c>
      <c r="P103" s="13">
        <f>Test!F101</f>
        <v>0</v>
      </c>
      <c r="Q103" s="13">
        <f>Test!G101</f>
        <v>0</v>
      </c>
      <c r="R103" s="14">
        <f t="shared" si="24"/>
        <v>0</v>
      </c>
      <c r="S103" s="18" t="e">
        <f t="shared" si="25"/>
        <v>#DIV/0!</v>
      </c>
      <c r="T103" s="18" t="e">
        <f t="shared" si="26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 x14ac:dyDescent="0.2">
      <c r="A104" s="35"/>
      <c r="B104" s="35"/>
      <c r="C104" s="35">
        <v>27</v>
      </c>
      <c r="D104" s="17">
        <f>Reference!B102</f>
        <v>0</v>
      </c>
      <c r="E104" s="18">
        <f>Reference!C102</f>
        <v>0</v>
      </c>
      <c r="F104" s="18">
        <f>Reference!D102</f>
        <v>0</v>
      </c>
      <c r="G104" s="18">
        <f>Reference!E102</f>
        <v>0</v>
      </c>
      <c r="H104" s="18">
        <f>Reference!F102</f>
        <v>0</v>
      </c>
      <c r="I104" s="18">
        <f>Reference!G102</f>
        <v>0</v>
      </c>
      <c r="J104" s="19">
        <f t="shared" si="23"/>
        <v>0</v>
      </c>
      <c r="L104" s="17">
        <f>Test!B102</f>
        <v>0</v>
      </c>
      <c r="M104" s="18">
        <f>Test!C102</f>
        <v>0</v>
      </c>
      <c r="N104" s="18">
        <f>Test!D102</f>
        <v>0</v>
      </c>
      <c r="O104" s="18">
        <f>Test!E102</f>
        <v>0</v>
      </c>
      <c r="P104" s="18">
        <f>Test!F102</f>
        <v>0</v>
      </c>
      <c r="Q104" s="18">
        <f>Test!G102</f>
        <v>0</v>
      </c>
      <c r="R104" s="19">
        <f t="shared" si="24"/>
        <v>0</v>
      </c>
      <c r="S104" s="18" t="e">
        <f t="shared" si="25"/>
        <v>#DIV/0!</v>
      </c>
      <c r="T104" s="18" t="e">
        <f t="shared" si="26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Reference!B103</f>
        <v>0</v>
      </c>
      <c r="E105" s="18">
        <f>Reference!C103</f>
        <v>0</v>
      </c>
      <c r="F105" s="18">
        <f>Reference!D103</f>
        <v>0</v>
      </c>
      <c r="G105" s="18">
        <f>Reference!E103</f>
        <v>0</v>
      </c>
      <c r="H105" s="18">
        <f>Reference!F103</f>
        <v>0</v>
      </c>
      <c r="I105" s="18">
        <f>Reference!G103</f>
        <v>0</v>
      </c>
      <c r="J105" s="19">
        <f t="shared" si="23"/>
        <v>0</v>
      </c>
      <c r="L105" s="17">
        <f>Test!B103</f>
        <v>0</v>
      </c>
      <c r="M105" s="18">
        <f>Test!C103</f>
        <v>0</v>
      </c>
      <c r="N105" s="18">
        <f>Test!D103</f>
        <v>0</v>
      </c>
      <c r="O105" s="18">
        <f>Test!E103</f>
        <v>0</v>
      </c>
      <c r="P105" s="18">
        <f>Test!F103</f>
        <v>0</v>
      </c>
      <c r="Q105" s="18">
        <f>Test!G103</f>
        <v>0</v>
      </c>
      <c r="R105" s="19">
        <f t="shared" si="24"/>
        <v>0</v>
      </c>
      <c r="S105" s="18" t="e">
        <f t="shared" si="25"/>
        <v>#DIV/0!</v>
      </c>
      <c r="T105" s="18" t="e">
        <f t="shared" si="26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Reference!B104</f>
        <v>0</v>
      </c>
      <c r="E106" s="23">
        <f>Reference!C104</f>
        <v>0</v>
      </c>
      <c r="F106" s="23">
        <f>Reference!D104</f>
        <v>0</v>
      </c>
      <c r="G106" s="23">
        <f>Reference!E104</f>
        <v>0</v>
      </c>
      <c r="H106" s="23">
        <f>Reference!F104</f>
        <v>0</v>
      </c>
      <c r="I106" s="23">
        <f>Reference!G104</f>
        <v>0</v>
      </c>
      <c r="J106" s="24">
        <f t="shared" si="23"/>
        <v>0</v>
      </c>
      <c r="L106" s="22">
        <f>Test!B104</f>
        <v>0</v>
      </c>
      <c r="M106" s="23">
        <f>Test!C104</f>
        <v>0</v>
      </c>
      <c r="N106" s="23">
        <f>Test!D104</f>
        <v>0</v>
      </c>
      <c r="O106" s="23">
        <f>Test!E104</f>
        <v>0</v>
      </c>
      <c r="P106" s="23">
        <f>Test!F104</f>
        <v>0</v>
      </c>
      <c r="Q106" s="23">
        <f>Test!G104</f>
        <v>0</v>
      </c>
      <c r="R106" s="24">
        <f t="shared" si="24"/>
        <v>0</v>
      </c>
      <c r="S106" s="23" t="e">
        <f t="shared" si="25"/>
        <v>#DIV/0!</v>
      </c>
      <c r="T106" s="23" t="e">
        <f t="shared" si="26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 t="e">
        <f>GEOMEAN(I3:I14)</f>
        <v>#NUM!</v>
      </c>
      <c r="J107" s="15" t="e">
        <f>GEOMEAN(J3:J14)</f>
        <v>#NUM!</v>
      </c>
      <c r="Q107" s="15" t="e">
        <f>GEOMEAN(Q3:Q14)</f>
        <v>#NUM!</v>
      </c>
      <c r="R107" s="15" t="e">
        <f>GEOMEAN(R3:R14)</f>
        <v>#NUM!</v>
      </c>
      <c r="S107" s="15" t="e">
        <f>GEOMEAN(S3:S14)</f>
        <v>#DIV/0!</v>
      </c>
      <c r="T107" s="15" t="e">
        <f>GEOMEAN(T3:T14)</f>
        <v>#DIV/0!</v>
      </c>
      <c r="V107" s="41" t="e">
        <f t="shared" ref="V107:AA107" si="27">AVERAGE(V3:V14)</f>
        <v>#VALUE!</v>
      </c>
      <c r="W107" s="46" t="e">
        <f t="shared" si="27"/>
        <v>#VALUE!</v>
      </c>
      <c r="X107" s="46" t="e">
        <f t="shared" si="27"/>
        <v>#VALUE!</v>
      </c>
      <c r="Y107" s="41" t="e">
        <f t="shared" si="27"/>
        <v>#VALUE!</v>
      </c>
      <c r="Z107" s="46" t="e">
        <f t="shared" si="27"/>
        <v>#VALUE!</v>
      </c>
      <c r="AA107" s="47" t="e">
        <f t="shared" si="27"/>
        <v>#VALUE!</v>
      </c>
    </row>
    <row r="108" spans="1:27" x14ac:dyDescent="0.2">
      <c r="B108" s="1" t="s">
        <v>70</v>
      </c>
      <c r="I108" s="15" t="e">
        <f>GEOMEAN(I15:I26)</f>
        <v>#NUM!</v>
      </c>
      <c r="J108" s="15" t="e">
        <f>GEOMEAN(J15:J26)</f>
        <v>#NUM!</v>
      </c>
      <c r="Q108" s="15" t="e">
        <f>GEOMEAN(Q15:Q26)</f>
        <v>#NUM!</v>
      </c>
      <c r="R108" s="15" t="e">
        <f>GEOMEAN(R15:R26)</f>
        <v>#NUM!</v>
      </c>
      <c r="S108" s="15" t="e">
        <f>GEOMEAN(S15:S26)</f>
        <v>#DIV/0!</v>
      </c>
      <c r="T108" s="15" t="e">
        <f>GEOMEAN(T15:T26)</f>
        <v>#DIV/0!</v>
      </c>
      <c r="V108" s="44" t="e">
        <f t="shared" ref="V108:AA108" si="28">AVERAGE(V15:V26)</f>
        <v>#VALUE!</v>
      </c>
      <c r="W108" s="48" t="e">
        <f t="shared" si="28"/>
        <v>#VALUE!</v>
      </c>
      <c r="X108" s="48" t="e">
        <f t="shared" si="28"/>
        <v>#VALUE!</v>
      </c>
      <c r="Y108" s="44" t="e">
        <f t="shared" si="28"/>
        <v>#VALUE!</v>
      </c>
      <c r="Z108" s="48" t="e">
        <f t="shared" si="28"/>
        <v>#VALUE!</v>
      </c>
      <c r="AA108" s="49" t="e">
        <f t="shared" si="28"/>
        <v>#VALUE!</v>
      </c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29">GEOMEAN(S27:S46)</f>
        <v>#DIV/0!</v>
      </c>
      <c r="T109" s="15" t="e">
        <f t="shared" si="29"/>
        <v>#DIV/0!</v>
      </c>
      <c r="V109" s="44" t="e">
        <f>AVERAGE(V27:V46)</f>
        <v>#VALUE!</v>
      </c>
      <c r="W109" s="48" t="e">
        <f t="shared" ref="W109:AA109" si="30">AVERAGE(W27:W46)</f>
        <v>#VALUE!</v>
      </c>
      <c r="X109" s="48" t="e">
        <f t="shared" si="30"/>
        <v>#VALUE!</v>
      </c>
      <c r="Y109" s="44" t="e">
        <f t="shared" si="30"/>
        <v>#VALUE!</v>
      </c>
      <c r="Z109" s="48" t="e">
        <f t="shared" si="30"/>
        <v>#VALUE!</v>
      </c>
      <c r="AA109" s="49" t="e">
        <f t="shared" si="30"/>
        <v>#VALUE!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31">GEOMEAN(S47:S62)</f>
        <v>#DIV/0!</v>
      </c>
      <c r="T110" s="15" t="e">
        <f t="shared" si="31"/>
        <v>#DIV/0!</v>
      </c>
      <c r="V110" s="44" t="e">
        <f>AVERAGE(V47:V62)</f>
        <v>#VALUE!</v>
      </c>
      <c r="W110" s="48" t="e">
        <f t="shared" ref="W110:AA110" si="32">AVERAGE(W47:W62)</f>
        <v>#VALUE!</v>
      </c>
      <c r="X110" s="48" t="e">
        <f t="shared" si="32"/>
        <v>#VALUE!</v>
      </c>
      <c r="Y110" s="44" t="e">
        <f t="shared" si="32"/>
        <v>#VALUE!</v>
      </c>
      <c r="Z110" s="48" t="e">
        <f t="shared" si="32"/>
        <v>#VALUE!</v>
      </c>
      <c r="AA110" s="49" t="e">
        <f t="shared" si="32"/>
        <v>#VALUE!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33">GEOMEAN(S63:S78)</f>
        <v>#DIV/0!</v>
      </c>
      <c r="T111" s="15" t="e">
        <f t="shared" si="33"/>
        <v>#DIV/0!</v>
      </c>
      <c r="V111" s="44" t="e">
        <f>AVERAGE(V63:V78)</f>
        <v>#VALUE!</v>
      </c>
      <c r="W111" s="48" t="e">
        <f t="shared" ref="W111:AA111" si="34">AVERAGE(W63:W78)</f>
        <v>#VALUE!</v>
      </c>
      <c r="X111" s="48" t="e">
        <f t="shared" si="34"/>
        <v>#VALUE!</v>
      </c>
      <c r="Y111" s="44" t="e">
        <f t="shared" si="34"/>
        <v>#VALUE!</v>
      </c>
      <c r="Z111" s="48" t="e">
        <f t="shared" si="34"/>
        <v>#VALUE!</v>
      </c>
      <c r="AA111" s="49" t="e">
        <f t="shared" si="34"/>
        <v>#VALUE!</v>
      </c>
    </row>
    <row r="112" spans="1:27" x14ac:dyDescent="0.2">
      <c r="B112" s="1" t="s">
        <v>7</v>
      </c>
      <c r="I112" s="15" t="e">
        <f>GEOMEAN(I79:I90)</f>
        <v>#NUM!</v>
      </c>
      <c r="J112" s="15" t="e">
        <f>GEOMEAN(J79:J90)</f>
        <v>#NUM!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35">GEOMEAN(S79:S90)</f>
        <v>#DIV/0!</v>
      </c>
      <c r="T112" s="15" t="e">
        <f t="shared" si="35"/>
        <v>#DIV/0!</v>
      </c>
      <c r="V112" s="44" t="e">
        <f>AVERAGE(V79:V88)</f>
        <v>#VALUE!</v>
      </c>
      <c r="W112" s="48" t="e">
        <f t="shared" ref="W112:AA112" si="36">AVERAGE(W79:W88)</f>
        <v>#VALUE!</v>
      </c>
      <c r="X112" s="48" t="e">
        <f t="shared" si="36"/>
        <v>#VALUE!</v>
      </c>
      <c r="Y112" s="44" t="e">
        <f t="shared" si="36"/>
        <v>#VALUE!</v>
      </c>
      <c r="Z112" s="48" t="e">
        <f t="shared" si="36"/>
        <v>#VALUE!</v>
      </c>
      <c r="AA112" s="49" t="e">
        <f t="shared" si="36"/>
        <v>#VALUE!</v>
      </c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37">GEOMEAN(S91:S106)</f>
        <v>#DIV/0!</v>
      </c>
      <c r="T113" s="15" t="e">
        <f t="shared" si="37"/>
        <v>#DIV/0!</v>
      </c>
      <c r="V113" s="44" t="e">
        <f>AVERAGE(V91:V106)</f>
        <v>#VALUE!</v>
      </c>
      <c r="W113" s="48" t="e">
        <f t="shared" ref="W113:AA113" si="38">AVERAGE(W91:W106)</f>
        <v>#VALUE!</v>
      </c>
      <c r="X113" s="48" t="e">
        <f t="shared" si="38"/>
        <v>#VALUE!</v>
      </c>
      <c r="Y113" s="44" t="e">
        <f t="shared" si="38"/>
        <v>#VALUE!</v>
      </c>
      <c r="Z113" s="48" t="e">
        <f t="shared" si="38"/>
        <v>#VALUE!</v>
      </c>
      <c r="AA113" s="49" t="e">
        <f t="shared" si="38"/>
        <v>#VALUE!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 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>GEOMEAN(R3:R62,R79:R90)</f>
        <v>#NUM!</v>
      </c>
      <c r="S114" s="61" t="e">
        <f>GEOMEAN(S3:S62,S79:S90)</f>
        <v>#DIV/0!</v>
      </c>
      <c r="T114" s="61" t="e">
        <f>GEOMEAN(T3:T62,T79:T90)</f>
        <v>#DIV/0!</v>
      </c>
      <c r="U114" s="4"/>
      <c r="V114" s="45" t="e">
        <f>AVERAGE(V3:V62,V79:V90)</f>
        <v>#VALUE!</v>
      </c>
      <c r="W114" s="50" t="e">
        <f t="shared" ref="W114:AA114" si="39">AVERAGE(W3:W62,W79:W90)</f>
        <v>#VALUE!</v>
      </c>
      <c r="X114" s="50" t="e">
        <f t="shared" si="39"/>
        <v>#VALUE!</v>
      </c>
      <c r="Y114" s="45" t="e">
        <f>AVERAGE(Y3:Y62,Y79:Y90)</f>
        <v>#VALUE!</v>
      </c>
      <c r="Z114" s="50" t="e">
        <f t="shared" si="39"/>
        <v>#VALUE!</v>
      </c>
      <c r="AA114" s="51" t="e">
        <f t="shared" si="39"/>
        <v>#VALUE!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  <c r="I120" s="15">
        <f>SUM(I$3:I$14)</f>
        <v>0</v>
      </c>
      <c r="J120" s="15">
        <f>SUM(J$3:J$14)</f>
        <v>0</v>
      </c>
      <c r="Q120" s="15">
        <f>SUM(Q$3:Q$14)</f>
        <v>0</v>
      </c>
      <c r="R120" s="15">
        <f>SUM(R$3:R$14)</f>
        <v>0</v>
      </c>
      <c r="S120" s="15" t="e">
        <f t="shared" ref="S120:S127" si="40">R120/I120</f>
        <v>#DIV/0!</v>
      </c>
      <c r="T120" s="15" t="e">
        <f t="shared" ref="T120:T127" si="41">Q120/H120</f>
        <v>#DIV/0!</v>
      </c>
    </row>
    <row r="121" spans="1:27" x14ac:dyDescent="0.2">
      <c r="B121" s="1" t="s">
        <v>70</v>
      </c>
      <c r="I121" s="15">
        <f>SUM(I$15:I$26)</f>
        <v>0</v>
      </c>
      <c r="J121" s="15">
        <f>SUM(J$15:J$26)</f>
        <v>0</v>
      </c>
      <c r="Q121" s="15">
        <f>SUM(Q$15:Q$26)</f>
        <v>0</v>
      </c>
      <c r="R121" s="15">
        <f>SUM(R$15:R$26)</f>
        <v>0</v>
      </c>
      <c r="S121" s="15" t="e">
        <f t="shared" si="40"/>
        <v>#DIV/0!</v>
      </c>
      <c r="T121" s="15" t="e">
        <f t="shared" si="41"/>
        <v>#DIV/0!</v>
      </c>
    </row>
    <row r="122" spans="1:27" x14ac:dyDescent="0.2">
      <c r="B122" s="1" t="s">
        <v>1</v>
      </c>
      <c r="I122" s="15">
        <f>SUM(I$27:I$46)</f>
        <v>0</v>
      </c>
      <c r="J122" s="15">
        <f>SUM(J$27:J$46)</f>
        <v>0</v>
      </c>
      <c r="Q122" s="15">
        <f>SUM(Q$27:Q$46)</f>
        <v>0</v>
      </c>
      <c r="R122" s="15">
        <f>SUM(R$27:R$46)</f>
        <v>0</v>
      </c>
      <c r="S122" s="15" t="e">
        <f t="shared" si="40"/>
        <v>#DIV/0!</v>
      </c>
      <c r="T122" s="15" t="e">
        <f t="shared" si="41"/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 t="shared" si="40"/>
        <v>#DIV/0!</v>
      </c>
      <c r="T123" s="15" t="e">
        <f t="shared" si="41"/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 t="shared" si="40"/>
        <v>#DIV/0!</v>
      </c>
      <c r="T124" s="15" t="e">
        <f t="shared" si="41"/>
        <v>#DIV/0!</v>
      </c>
    </row>
    <row r="125" spans="1:27" x14ac:dyDescent="0.2">
      <c r="B125" s="1" t="s">
        <v>7</v>
      </c>
      <c r="I125" s="15">
        <f>SUM(I$79:I$90)</f>
        <v>0</v>
      </c>
      <c r="J125" s="15">
        <f>SUM(J$79:J$90)</f>
        <v>0</v>
      </c>
      <c r="Q125" s="15">
        <f>SUM(Q$79:Q$90)</f>
        <v>0</v>
      </c>
      <c r="R125" s="15">
        <f>SUM(R$79:R$90)</f>
        <v>0</v>
      </c>
      <c r="S125" s="15" t="e">
        <f t="shared" si="40"/>
        <v>#DIV/0!</v>
      </c>
      <c r="T125" s="15" t="e">
        <f t="shared" si="41"/>
        <v>#DIV/0!</v>
      </c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 t="shared" si="40"/>
        <v>#DIV/0!</v>
      </c>
      <c r="T126" s="15" t="e">
        <f t="shared" si="41"/>
        <v>#DIV/0!</v>
      </c>
    </row>
    <row r="127" spans="1:27" x14ac:dyDescent="0.2">
      <c r="B127" s="1" t="s">
        <v>8</v>
      </c>
      <c r="I127" s="15">
        <f>SUM(I120:I126)</f>
        <v>0</v>
      </c>
      <c r="J127" s="15">
        <f>SUM(J120:J126)</f>
        <v>0</v>
      </c>
      <c r="Q127" s="15">
        <f>SUM(Q120:Q126)</f>
        <v>0</v>
      </c>
      <c r="R127" s="15">
        <f>SUM(R120:R126)</f>
        <v>0</v>
      </c>
      <c r="S127" s="15" t="e">
        <f t="shared" si="40"/>
        <v>#DIV/0!</v>
      </c>
      <c r="T127" s="15" t="e">
        <f t="shared" si="41"/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>
        <f>MAX(I$3:I$14)</f>
        <v>0</v>
      </c>
      <c r="J130" s="15">
        <f>MAX(J$3:J$14)</f>
        <v>0</v>
      </c>
      <c r="Q130" s="15">
        <f>MAX(Q$3:Q$14)</f>
        <v>0</v>
      </c>
      <c r="R130" s="15">
        <f>MAX(R$3:R$14)</f>
        <v>0</v>
      </c>
      <c r="S130" s="15" t="e">
        <f t="shared" ref="S130:S137" si="42">R130/I130</f>
        <v>#DIV/0!</v>
      </c>
      <c r="T130" s="15" t="e">
        <f t="shared" ref="T130:T137" si="43">Q130/H130</f>
        <v>#DIV/0!</v>
      </c>
    </row>
    <row r="131" spans="2:20" x14ac:dyDescent="0.2">
      <c r="B131" s="1" t="s">
        <v>70</v>
      </c>
      <c r="I131" s="15">
        <f>MAX(I$15:I$26)</f>
        <v>0</v>
      </c>
      <c r="J131" s="15">
        <f>MAX(J$15:J$26)</f>
        <v>0</v>
      </c>
      <c r="Q131" s="15">
        <f>MAX(Q$15:Q$26)</f>
        <v>0</v>
      </c>
      <c r="R131" s="15">
        <f>MAX(R$15:R$26)</f>
        <v>0</v>
      </c>
      <c r="S131" s="15" t="e">
        <f t="shared" si="42"/>
        <v>#DIV/0!</v>
      </c>
      <c r="T131" s="15" t="e">
        <f t="shared" si="43"/>
        <v>#DIV/0!</v>
      </c>
    </row>
    <row r="132" spans="2:20" x14ac:dyDescent="0.2">
      <c r="B132" s="1" t="s">
        <v>1</v>
      </c>
      <c r="I132" s="15">
        <f>MAX(I$27:I$46)</f>
        <v>0</v>
      </c>
      <c r="J132" s="15">
        <f>MAX(J$27:J$46)</f>
        <v>0</v>
      </c>
      <c r="Q132" s="15">
        <f>MAX(Q$27:Q$46)</f>
        <v>0</v>
      </c>
      <c r="R132" s="15">
        <f>MAX(R$27:R$46)</f>
        <v>0</v>
      </c>
      <c r="S132" s="15" t="e">
        <f t="shared" si="42"/>
        <v>#DIV/0!</v>
      </c>
      <c r="T132" s="15" t="e">
        <f t="shared" si="43"/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 t="shared" si="42"/>
        <v>#DIV/0!</v>
      </c>
      <c r="T133" s="15" t="e">
        <f t="shared" si="43"/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 t="shared" si="42"/>
        <v>#DIV/0!</v>
      </c>
      <c r="T134" s="15" t="e">
        <f t="shared" si="43"/>
        <v>#DIV/0!</v>
      </c>
    </row>
    <row r="135" spans="2:20" x14ac:dyDescent="0.2">
      <c r="B135" s="1" t="s">
        <v>7</v>
      </c>
      <c r="I135" s="15">
        <f>MAX(I$79:I$90)</f>
        <v>0</v>
      </c>
      <c r="J135" s="15">
        <f>MAX(J$79:J$90)</f>
        <v>0</v>
      </c>
      <c r="Q135" s="15">
        <f>MAX(Q$79:Q$90)</f>
        <v>0</v>
      </c>
      <c r="R135" s="15">
        <f>MAX(R$79:R$90)</f>
        <v>0</v>
      </c>
      <c r="S135" s="15" t="e">
        <f t="shared" si="42"/>
        <v>#DIV/0!</v>
      </c>
      <c r="T135" s="15" t="e">
        <f t="shared" si="43"/>
        <v>#DIV/0!</v>
      </c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 t="shared" si="42"/>
        <v>#DIV/0!</v>
      </c>
      <c r="T136" s="15" t="e">
        <f t="shared" si="43"/>
        <v>#DIV/0!</v>
      </c>
    </row>
    <row r="137" spans="2:20" x14ac:dyDescent="0.2">
      <c r="B137" s="1" t="s">
        <v>8</v>
      </c>
      <c r="I137" s="15">
        <f>MAX(I130:I136)</f>
        <v>0</v>
      </c>
      <c r="J137" s="15">
        <f>MAX(J130:J136)</f>
        <v>0</v>
      </c>
      <c r="Q137" s="15">
        <f>MAX(Q130:Q136)</f>
        <v>0</v>
      </c>
      <c r="R137" s="15">
        <f>MAX(R130:R136)</f>
        <v>0</v>
      </c>
      <c r="S137" s="15" t="e">
        <f t="shared" si="42"/>
        <v>#DIV/0!</v>
      </c>
      <c r="T137" s="15" t="e">
        <f t="shared" si="43"/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Y11">
    <cfRule type="cellIs" dxfId="951" priority="1163" operator="greaterThan">
      <formula>0.03</formula>
    </cfRule>
    <cfRule type="cellIs" dxfId="950" priority="1164" stopIfTrue="1" operator="lessThan">
      <formula>-0.03</formula>
    </cfRule>
  </conditionalFormatting>
  <conditionalFormatting sqref="V3:X14">
    <cfRule type="cellIs" dxfId="949" priority="1177" operator="greaterThan">
      <formula>0.03</formula>
    </cfRule>
    <cfRule type="cellIs" dxfId="948" priority="1178" stopIfTrue="1" operator="lessThan">
      <formula>-0.03</formula>
    </cfRule>
  </conditionalFormatting>
  <conditionalFormatting sqref="Y3">
    <cfRule type="cellIs" dxfId="947" priority="1175" operator="greaterThan">
      <formula>0.03</formula>
    </cfRule>
    <cfRule type="cellIs" dxfId="946" priority="1176" stopIfTrue="1" operator="lessThan">
      <formula>-0.03</formula>
    </cfRule>
  </conditionalFormatting>
  <conditionalFormatting sqref="Z3">
    <cfRule type="cellIs" dxfId="945" priority="1173" operator="greaterThan">
      <formula>0.03</formula>
    </cfRule>
    <cfRule type="cellIs" dxfId="944" priority="1174" stopIfTrue="1" operator="lessThan">
      <formula>-0.03</formula>
    </cfRule>
  </conditionalFormatting>
  <conditionalFormatting sqref="AA3">
    <cfRule type="cellIs" dxfId="943" priority="1171" operator="greaterThan">
      <formula>0.03</formula>
    </cfRule>
    <cfRule type="cellIs" dxfId="942" priority="1172" stopIfTrue="1" operator="lessThan">
      <formula>-0.03</formula>
    </cfRule>
  </conditionalFormatting>
  <conditionalFormatting sqref="Y7">
    <cfRule type="cellIs" dxfId="941" priority="1169" operator="greaterThan">
      <formula>0.03</formula>
    </cfRule>
    <cfRule type="cellIs" dxfId="940" priority="1170" stopIfTrue="1" operator="lessThan">
      <formula>-0.03</formula>
    </cfRule>
  </conditionalFormatting>
  <conditionalFormatting sqref="Z7">
    <cfRule type="cellIs" dxfId="939" priority="1167" operator="greaterThan">
      <formula>0.03</formula>
    </cfRule>
    <cfRule type="cellIs" dxfId="938" priority="1168" stopIfTrue="1" operator="lessThan">
      <formula>-0.03</formula>
    </cfRule>
  </conditionalFormatting>
  <conditionalFormatting sqref="AA7">
    <cfRule type="cellIs" dxfId="937" priority="1165" operator="greaterThan">
      <formula>0.03</formula>
    </cfRule>
    <cfRule type="cellIs" dxfId="936" priority="1166" stopIfTrue="1" operator="lessThan">
      <formula>-0.03</formula>
    </cfRule>
  </conditionalFormatting>
  <conditionalFormatting sqref="Z11">
    <cfRule type="cellIs" dxfId="935" priority="1161" operator="greaterThan">
      <formula>0.03</formula>
    </cfRule>
    <cfRule type="cellIs" dxfId="934" priority="1162" stopIfTrue="1" operator="lessThan">
      <formula>-0.03</formula>
    </cfRule>
  </conditionalFormatting>
  <conditionalFormatting sqref="AA11">
    <cfRule type="cellIs" dxfId="933" priority="1159" operator="greaterThan">
      <formula>0.03</formula>
    </cfRule>
    <cfRule type="cellIs" dxfId="932" priority="1160" stopIfTrue="1" operator="lessThan">
      <formula>-0.03</formula>
    </cfRule>
  </conditionalFormatting>
  <conditionalFormatting sqref="Y14:Z14">
    <cfRule type="cellIs" dxfId="931" priority="1087" operator="greaterThan">
      <formula>0.03</formula>
    </cfRule>
    <cfRule type="cellIs" dxfId="930" priority="1088" stopIfTrue="1" operator="lessThan">
      <formula>-0.03</formula>
    </cfRule>
  </conditionalFormatting>
  <conditionalFormatting sqref="Y6:Z6">
    <cfRule type="cellIs" dxfId="929" priority="1091" operator="greaterThan">
      <formula>0.03</formula>
    </cfRule>
    <cfRule type="cellIs" dxfId="928" priority="1092" stopIfTrue="1" operator="lessThan">
      <formula>-0.03</formula>
    </cfRule>
  </conditionalFormatting>
  <conditionalFormatting sqref="Y10:Z10">
    <cfRule type="cellIs" dxfId="927" priority="1089" operator="greaterThan">
      <formula>0.03</formula>
    </cfRule>
    <cfRule type="cellIs" dxfId="926" priority="1090" stopIfTrue="1" operator="lessThan">
      <formula>-0.03</formula>
    </cfRule>
  </conditionalFormatting>
  <conditionalFormatting sqref="V110:AA110">
    <cfRule type="cellIs" dxfId="925" priority="555" operator="greaterThan">
      <formula>0.03</formula>
    </cfRule>
    <cfRule type="cellIs" dxfId="924" priority="556" stopIfTrue="1" operator="lessThan">
      <formula>-0.03</formula>
    </cfRule>
  </conditionalFormatting>
  <conditionalFormatting sqref="Y94:Z94">
    <cfRule type="cellIs" dxfId="923" priority="103" operator="greaterThan">
      <formula>0.03</formula>
    </cfRule>
    <cfRule type="cellIs" dxfId="922" priority="104" stopIfTrue="1" operator="lessThan">
      <formula>-0.03</formula>
    </cfRule>
  </conditionalFormatting>
  <conditionalFormatting sqref="V113:AA113">
    <cfRule type="cellIs" dxfId="921" priority="553" operator="greaterThan">
      <formula>0.03</formula>
    </cfRule>
    <cfRule type="cellIs" dxfId="920" priority="554" stopIfTrue="1" operator="lessThan">
      <formula>-0.03</formula>
    </cfRule>
  </conditionalFormatting>
  <conditionalFormatting sqref="V114:AA114">
    <cfRule type="cellIs" dxfId="919" priority="561" operator="greaterThan">
      <formula>0.03</formula>
    </cfRule>
    <cfRule type="cellIs" dxfId="918" priority="562" stopIfTrue="1" operator="lessThan">
      <formula>-0.03</formula>
    </cfRule>
  </conditionalFormatting>
  <conditionalFormatting sqref="V107:AA107 V109:AA109">
    <cfRule type="cellIs" dxfId="917" priority="557" operator="greaterThan">
      <formula>0.03</formula>
    </cfRule>
    <cfRule type="cellIs" dxfId="916" priority="558" stopIfTrue="1" operator="lessThan">
      <formula>-0.03</formula>
    </cfRule>
  </conditionalFormatting>
  <conditionalFormatting sqref="V111:AA112">
    <cfRule type="cellIs" dxfId="915" priority="559" operator="greaterThan">
      <formula>0.03</formula>
    </cfRule>
    <cfRule type="cellIs" dxfId="914" priority="560" stopIfTrue="1" operator="lessThan">
      <formula>-0.03</formula>
    </cfRule>
  </conditionalFormatting>
  <conditionalFormatting sqref="Z103">
    <cfRule type="cellIs" dxfId="913" priority="107" operator="greaterThan">
      <formula>0.03</formula>
    </cfRule>
    <cfRule type="cellIs" dxfId="912" priority="108" stopIfTrue="1" operator="lessThan">
      <formula>-0.03</formula>
    </cfRule>
  </conditionalFormatting>
  <conditionalFormatting sqref="Y103">
    <cfRule type="cellIs" dxfId="911" priority="109" operator="greaterThan">
      <formula>0.03</formula>
    </cfRule>
    <cfRule type="cellIs" dxfId="910" priority="110" stopIfTrue="1" operator="lessThan">
      <formula>-0.03</formula>
    </cfRule>
  </conditionalFormatting>
  <conditionalFormatting sqref="AA103">
    <cfRule type="cellIs" dxfId="909" priority="105" operator="greaterThan">
      <formula>0.03</formula>
    </cfRule>
    <cfRule type="cellIs" dxfId="908" priority="106" stopIfTrue="1" operator="lessThan">
      <formula>-0.03</formula>
    </cfRule>
  </conditionalFormatting>
  <conditionalFormatting sqref="V79:X90">
    <cfRule type="cellIs" dxfId="907" priority="55" operator="greaterThan">
      <formula>0.03</formula>
    </cfRule>
    <cfRule type="cellIs" dxfId="906" priority="56" stopIfTrue="1" operator="lessThan">
      <formula>-0.03</formula>
    </cfRule>
  </conditionalFormatting>
  <conditionalFormatting sqref="Y79">
    <cfRule type="cellIs" dxfId="905" priority="53" operator="greaterThan">
      <formula>0.03</formula>
    </cfRule>
    <cfRule type="cellIs" dxfId="904" priority="54" stopIfTrue="1" operator="lessThan">
      <formula>-0.03</formula>
    </cfRule>
  </conditionalFormatting>
  <conditionalFormatting sqref="Z87">
    <cfRule type="cellIs" dxfId="903" priority="39" operator="greaterThan">
      <formula>0.03</formula>
    </cfRule>
    <cfRule type="cellIs" dxfId="902" priority="40" stopIfTrue="1" operator="lessThan">
      <formula>-0.03</formula>
    </cfRule>
  </conditionalFormatting>
  <conditionalFormatting sqref="Z79">
    <cfRule type="cellIs" dxfId="901" priority="51" operator="greaterThan">
      <formula>0.03</formula>
    </cfRule>
    <cfRule type="cellIs" dxfId="900" priority="52" stopIfTrue="1" operator="lessThan">
      <formula>-0.03</formula>
    </cfRule>
  </conditionalFormatting>
  <conditionalFormatting sqref="Y86:Z86">
    <cfRule type="cellIs" dxfId="899" priority="33" operator="greaterThan">
      <formula>0.03</formula>
    </cfRule>
    <cfRule type="cellIs" dxfId="898" priority="34" stopIfTrue="1" operator="lessThan">
      <formula>-0.03</formula>
    </cfRule>
  </conditionalFormatting>
  <conditionalFormatting sqref="Y87">
    <cfRule type="cellIs" dxfId="897" priority="41" operator="greaterThan">
      <formula>0.03</formula>
    </cfRule>
    <cfRule type="cellIs" dxfId="896" priority="42" stopIfTrue="1" operator="lessThan">
      <formula>-0.03</formula>
    </cfRule>
  </conditionalFormatting>
  <conditionalFormatting sqref="AA79">
    <cfRule type="cellIs" dxfId="895" priority="49" operator="greaterThan">
      <formula>0.03</formula>
    </cfRule>
    <cfRule type="cellIs" dxfId="894" priority="50" stopIfTrue="1" operator="lessThan">
      <formula>-0.03</formula>
    </cfRule>
  </conditionalFormatting>
  <conditionalFormatting sqref="AA83">
    <cfRule type="cellIs" dxfId="893" priority="43" operator="greaterThan">
      <formula>0.03</formula>
    </cfRule>
    <cfRule type="cellIs" dxfId="892" priority="44" stopIfTrue="1" operator="lessThan">
      <formula>-0.03</formula>
    </cfRule>
  </conditionalFormatting>
  <conditionalFormatting sqref="Y82:Z82">
    <cfRule type="cellIs" dxfId="891" priority="35" operator="greaterThan">
      <formula>0.03</formula>
    </cfRule>
    <cfRule type="cellIs" dxfId="890" priority="36" stopIfTrue="1" operator="lessThan">
      <formula>-0.03</formula>
    </cfRule>
  </conditionalFormatting>
  <conditionalFormatting sqref="Y90:Z90">
    <cfRule type="cellIs" dxfId="889" priority="31" operator="greaterThan">
      <formula>0.03</formula>
    </cfRule>
    <cfRule type="cellIs" dxfId="888" priority="32" stopIfTrue="1" operator="lessThan">
      <formula>-0.03</formula>
    </cfRule>
  </conditionalFormatting>
  <conditionalFormatting sqref="Y83">
    <cfRule type="cellIs" dxfId="887" priority="47" operator="greaterThan">
      <formula>0.03</formula>
    </cfRule>
    <cfRule type="cellIs" dxfId="886" priority="48" stopIfTrue="1" operator="lessThan">
      <formula>-0.03</formula>
    </cfRule>
  </conditionalFormatting>
  <conditionalFormatting sqref="Z83">
    <cfRule type="cellIs" dxfId="885" priority="45" operator="greaterThan">
      <formula>0.03</formula>
    </cfRule>
    <cfRule type="cellIs" dxfId="884" priority="46" stopIfTrue="1" operator="lessThan">
      <formula>-0.03</formula>
    </cfRule>
  </conditionalFormatting>
  <conditionalFormatting sqref="AA87">
    <cfRule type="cellIs" dxfId="883" priority="37" operator="greaterThan">
      <formula>0.03</formula>
    </cfRule>
    <cfRule type="cellIs" dxfId="882" priority="38" stopIfTrue="1" operator="lessThan">
      <formula>-0.03</formula>
    </cfRule>
  </conditionalFormatting>
  <conditionalFormatting sqref="V108:AA108">
    <cfRule type="cellIs" dxfId="881" priority="463" operator="greaterThan">
      <formula>0.03</formula>
    </cfRule>
    <cfRule type="cellIs" dxfId="880" priority="464" stopIfTrue="1" operator="lessThan">
      <formula>-0.03</formula>
    </cfRule>
  </conditionalFormatting>
  <conditionalFormatting sqref="Y23">
    <cfRule type="cellIs" dxfId="879" priority="433" operator="greaterThan">
      <formula>0.03</formula>
    </cfRule>
    <cfRule type="cellIs" dxfId="878" priority="434" stopIfTrue="1" operator="lessThan">
      <formula>-0.03</formula>
    </cfRule>
  </conditionalFormatting>
  <conditionalFormatting sqref="V15:X26">
    <cfRule type="cellIs" dxfId="877" priority="447" operator="greaterThan">
      <formula>0.03</formula>
    </cfRule>
    <cfRule type="cellIs" dxfId="876" priority="448" stopIfTrue="1" operator="lessThan">
      <formula>-0.03</formula>
    </cfRule>
  </conditionalFormatting>
  <conditionalFormatting sqref="Y15">
    <cfRule type="cellIs" dxfId="875" priority="445" operator="greaterThan">
      <formula>0.03</formula>
    </cfRule>
    <cfRule type="cellIs" dxfId="874" priority="446" stopIfTrue="1" operator="lessThan">
      <formula>-0.03</formula>
    </cfRule>
  </conditionalFormatting>
  <conditionalFormatting sqref="Z15">
    <cfRule type="cellIs" dxfId="873" priority="443" operator="greaterThan">
      <formula>0.03</formula>
    </cfRule>
    <cfRule type="cellIs" dxfId="872" priority="444" stopIfTrue="1" operator="lessThan">
      <formula>-0.03</formula>
    </cfRule>
  </conditionalFormatting>
  <conditionalFormatting sqref="AA15">
    <cfRule type="cellIs" dxfId="871" priority="441" operator="greaterThan">
      <formula>0.03</formula>
    </cfRule>
    <cfRule type="cellIs" dxfId="870" priority="442" stopIfTrue="1" operator="lessThan">
      <formula>-0.03</formula>
    </cfRule>
  </conditionalFormatting>
  <conditionalFormatting sqref="Y19">
    <cfRule type="cellIs" dxfId="869" priority="439" operator="greaterThan">
      <formula>0.03</formula>
    </cfRule>
    <cfRule type="cellIs" dxfId="868" priority="440" stopIfTrue="1" operator="lessThan">
      <formula>-0.03</formula>
    </cfRule>
  </conditionalFormatting>
  <conditionalFormatting sqref="Z19">
    <cfRule type="cellIs" dxfId="867" priority="437" operator="greaterThan">
      <formula>0.03</formula>
    </cfRule>
    <cfRule type="cellIs" dxfId="866" priority="438" stopIfTrue="1" operator="lessThan">
      <formula>-0.03</formula>
    </cfRule>
  </conditionalFormatting>
  <conditionalFormatting sqref="AA19">
    <cfRule type="cellIs" dxfId="865" priority="435" operator="greaterThan">
      <formula>0.03</formula>
    </cfRule>
    <cfRule type="cellIs" dxfId="864" priority="436" stopIfTrue="1" operator="lessThan">
      <formula>-0.03</formula>
    </cfRule>
  </conditionalFormatting>
  <conditionalFormatting sqref="Z23">
    <cfRule type="cellIs" dxfId="863" priority="431" operator="greaterThan">
      <formula>0.03</formula>
    </cfRule>
    <cfRule type="cellIs" dxfId="862" priority="432" stopIfTrue="1" operator="lessThan">
      <formula>-0.03</formula>
    </cfRule>
  </conditionalFormatting>
  <conditionalFormatting sqref="AA23">
    <cfRule type="cellIs" dxfId="861" priority="429" operator="greaterThan">
      <formula>0.03</formula>
    </cfRule>
    <cfRule type="cellIs" dxfId="860" priority="430" stopIfTrue="1" operator="lessThan">
      <formula>-0.03</formula>
    </cfRule>
  </conditionalFormatting>
  <conditionalFormatting sqref="Y26:Z26">
    <cfRule type="cellIs" dxfId="859" priority="417" operator="greaterThan">
      <formula>0.03</formula>
    </cfRule>
    <cfRule type="cellIs" dxfId="858" priority="418" stopIfTrue="1" operator="lessThan">
      <formula>-0.03</formula>
    </cfRule>
  </conditionalFormatting>
  <conditionalFormatting sqref="Y18:Z18">
    <cfRule type="cellIs" dxfId="857" priority="421" operator="greaterThan">
      <formula>0.03</formula>
    </cfRule>
    <cfRule type="cellIs" dxfId="856" priority="422" stopIfTrue="1" operator="lessThan">
      <formula>-0.03</formula>
    </cfRule>
  </conditionalFormatting>
  <conditionalFormatting sqref="Y22:Z22">
    <cfRule type="cellIs" dxfId="855" priority="419" operator="greaterThan">
      <formula>0.03</formula>
    </cfRule>
    <cfRule type="cellIs" dxfId="854" priority="420" stopIfTrue="1" operator="lessThan">
      <formula>-0.03</formula>
    </cfRule>
  </conditionalFormatting>
  <conditionalFormatting sqref="V27:X30">
    <cfRule type="cellIs" dxfId="853" priority="373" operator="greaterThan">
      <formula>0.03</formula>
    </cfRule>
    <cfRule type="cellIs" dxfId="852" priority="374" stopIfTrue="1" operator="lessThan">
      <formula>-0.03</formula>
    </cfRule>
  </conditionalFormatting>
  <conditionalFormatting sqref="Y27">
    <cfRule type="cellIs" dxfId="851" priority="371" operator="greaterThan">
      <formula>0.03</formula>
    </cfRule>
    <cfRule type="cellIs" dxfId="850" priority="372" stopIfTrue="1" operator="lessThan">
      <formula>-0.03</formula>
    </cfRule>
  </conditionalFormatting>
  <conditionalFormatting sqref="Z27">
    <cfRule type="cellIs" dxfId="849" priority="369" operator="greaterThan">
      <formula>0.03</formula>
    </cfRule>
    <cfRule type="cellIs" dxfId="848" priority="370" stopIfTrue="1" operator="lessThan">
      <formula>-0.03</formula>
    </cfRule>
  </conditionalFormatting>
  <conditionalFormatting sqref="AA27">
    <cfRule type="cellIs" dxfId="847" priority="367" operator="greaterThan">
      <formula>0.03</formula>
    </cfRule>
    <cfRule type="cellIs" dxfId="846" priority="368" stopIfTrue="1" operator="lessThan">
      <formula>-0.03</formula>
    </cfRule>
  </conditionalFormatting>
  <conditionalFormatting sqref="Y30:Z30">
    <cfRule type="cellIs" dxfId="845" priority="365" operator="greaterThan">
      <formula>0.03</formula>
    </cfRule>
    <cfRule type="cellIs" dxfId="844" priority="366" stopIfTrue="1" operator="lessThan">
      <formula>-0.03</formula>
    </cfRule>
  </conditionalFormatting>
  <conditionalFormatting sqref="Y35">
    <cfRule type="cellIs" dxfId="843" priority="345" operator="greaterThan">
      <formula>0.03</formula>
    </cfRule>
    <cfRule type="cellIs" dxfId="842" priority="346" stopIfTrue="1" operator="lessThan">
      <formula>-0.03</formula>
    </cfRule>
  </conditionalFormatting>
  <conditionalFormatting sqref="V31:X38">
    <cfRule type="cellIs" dxfId="841" priority="353" operator="greaterThan">
      <formula>0.03</formula>
    </cfRule>
    <cfRule type="cellIs" dxfId="840" priority="354" stopIfTrue="1" operator="lessThan">
      <formula>-0.03</formula>
    </cfRule>
  </conditionalFormatting>
  <conditionalFormatting sqref="Y31">
    <cfRule type="cellIs" dxfId="839" priority="351" operator="greaterThan">
      <formula>0.03</formula>
    </cfRule>
    <cfRule type="cellIs" dxfId="838" priority="352" stopIfTrue="1" operator="lessThan">
      <formula>-0.03</formula>
    </cfRule>
  </conditionalFormatting>
  <conditionalFormatting sqref="Z31">
    <cfRule type="cellIs" dxfId="837" priority="349" operator="greaterThan">
      <formula>0.03</formula>
    </cfRule>
    <cfRule type="cellIs" dxfId="836" priority="350" stopIfTrue="1" operator="lessThan">
      <formula>-0.03</formula>
    </cfRule>
  </conditionalFormatting>
  <conditionalFormatting sqref="AA31">
    <cfRule type="cellIs" dxfId="835" priority="347" operator="greaterThan">
      <formula>0.03</formula>
    </cfRule>
    <cfRule type="cellIs" dxfId="834" priority="348" stopIfTrue="1" operator="lessThan">
      <formula>-0.03</formula>
    </cfRule>
  </conditionalFormatting>
  <conditionalFormatting sqref="Z35">
    <cfRule type="cellIs" dxfId="833" priority="343" operator="greaterThan">
      <formula>0.03</formula>
    </cfRule>
    <cfRule type="cellIs" dxfId="832" priority="344" stopIfTrue="1" operator="lessThan">
      <formula>-0.03</formula>
    </cfRule>
  </conditionalFormatting>
  <conditionalFormatting sqref="AA35">
    <cfRule type="cellIs" dxfId="831" priority="341" operator="greaterThan">
      <formula>0.03</formula>
    </cfRule>
    <cfRule type="cellIs" dxfId="830" priority="342" stopIfTrue="1" operator="lessThan">
      <formula>-0.03</formula>
    </cfRule>
  </conditionalFormatting>
  <conditionalFormatting sqref="Y38:Z38">
    <cfRule type="cellIs" dxfId="829" priority="337" operator="greaterThan">
      <formula>0.03</formula>
    </cfRule>
    <cfRule type="cellIs" dxfId="828" priority="338" stopIfTrue="1" operator="lessThan">
      <formula>-0.03</formula>
    </cfRule>
  </conditionalFormatting>
  <conditionalFormatting sqref="Y34:Z34">
    <cfRule type="cellIs" dxfId="827" priority="339" operator="greaterThan">
      <formula>0.03</formula>
    </cfRule>
    <cfRule type="cellIs" dxfId="826" priority="340" stopIfTrue="1" operator="lessThan">
      <formula>-0.03</formula>
    </cfRule>
  </conditionalFormatting>
  <conditionalFormatting sqref="Y43">
    <cfRule type="cellIs" dxfId="825" priority="307" operator="greaterThan">
      <formula>0.03</formula>
    </cfRule>
    <cfRule type="cellIs" dxfId="824" priority="308" stopIfTrue="1" operator="lessThan">
      <formula>-0.03</formula>
    </cfRule>
  </conditionalFormatting>
  <conditionalFormatting sqref="V39:X46">
    <cfRule type="cellIs" dxfId="823" priority="315" operator="greaterThan">
      <formula>0.03</formula>
    </cfRule>
    <cfRule type="cellIs" dxfId="822" priority="316" stopIfTrue="1" operator="lessThan">
      <formula>-0.03</formula>
    </cfRule>
  </conditionalFormatting>
  <conditionalFormatting sqref="Y39">
    <cfRule type="cellIs" dxfId="821" priority="313" operator="greaterThan">
      <formula>0.03</formula>
    </cfRule>
    <cfRule type="cellIs" dxfId="820" priority="314" stopIfTrue="1" operator="lessThan">
      <formula>-0.03</formula>
    </cfRule>
  </conditionalFormatting>
  <conditionalFormatting sqref="Z39">
    <cfRule type="cellIs" dxfId="819" priority="311" operator="greaterThan">
      <formula>0.03</formula>
    </cfRule>
    <cfRule type="cellIs" dxfId="818" priority="312" stopIfTrue="1" operator="lessThan">
      <formula>-0.03</formula>
    </cfRule>
  </conditionalFormatting>
  <conditionalFormatting sqref="AA39">
    <cfRule type="cellIs" dxfId="817" priority="309" operator="greaterThan">
      <formula>0.03</formula>
    </cfRule>
    <cfRule type="cellIs" dxfId="816" priority="310" stopIfTrue="1" operator="lessThan">
      <formula>-0.03</formula>
    </cfRule>
  </conditionalFormatting>
  <conditionalFormatting sqref="Z43">
    <cfRule type="cellIs" dxfId="815" priority="305" operator="greaterThan">
      <formula>0.03</formula>
    </cfRule>
    <cfRule type="cellIs" dxfId="814" priority="306" stopIfTrue="1" operator="lessThan">
      <formula>-0.03</formula>
    </cfRule>
  </conditionalFormatting>
  <conditionalFormatting sqref="AA43">
    <cfRule type="cellIs" dxfId="813" priority="303" operator="greaterThan">
      <formula>0.03</formula>
    </cfRule>
    <cfRule type="cellIs" dxfId="812" priority="304" stopIfTrue="1" operator="lessThan">
      <formula>-0.03</formula>
    </cfRule>
  </conditionalFormatting>
  <conditionalFormatting sqref="Y46:Z46">
    <cfRule type="cellIs" dxfId="811" priority="299" operator="greaterThan">
      <formula>0.03</formula>
    </cfRule>
    <cfRule type="cellIs" dxfId="810" priority="300" stopIfTrue="1" operator="lessThan">
      <formula>-0.03</formula>
    </cfRule>
  </conditionalFormatting>
  <conditionalFormatting sqref="Y42:Z42">
    <cfRule type="cellIs" dxfId="809" priority="301" operator="greaterThan">
      <formula>0.03</formula>
    </cfRule>
    <cfRule type="cellIs" dxfId="808" priority="302" stopIfTrue="1" operator="lessThan">
      <formula>-0.03</formula>
    </cfRule>
  </conditionalFormatting>
  <conditionalFormatting sqref="Y55">
    <cfRule type="cellIs" dxfId="807" priority="263" operator="greaterThan">
      <formula>0.03</formula>
    </cfRule>
    <cfRule type="cellIs" dxfId="806" priority="264" stopIfTrue="1" operator="lessThan">
      <formula>-0.03</formula>
    </cfRule>
  </conditionalFormatting>
  <conditionalFormatting sqref="V47:X62">
    <cfRule type="cellIs" dxfId="805" priority="277" operator="greaterThan">
      <formula>0.03</formula>
    </cfRule>
    <cfRule type="cellIs" dxfId="804" priority="278" stopIfTrue="1" operator="lessThan">
      <formula>-0.03</formula>
    </cfRule>
  </conditionalFormatting>
  <conditionalFormatting sqref="Y47">
    <cfRule type="cellIs" dxfId="803" priority="275" operator="greaterThan">
      <formula>0.03</formula>
    </cfRule>
    <cfRule type="cellIs" dxfId="802" priority="276" stopIfTrue="1" operator="lessThan">
      <formula>-0.03</formula>
    </cfRule>
  </conditionalFormatting>
  <conditionalFormatting sqref="Z47">
    <cfRule type="cellIs" dxfId="801" priority="273" operator="greaterThan">
      <formula>0.03</formula>
    </cfRule>
    <cfRule type="cellIs" dxfId="800" priority="274" stopIfTrue="1" operator="lessThan">
      <formula>-0.03</formula>
    </cfRule>
  </conditionalFormatting>
  <conditionalFormatting sqref="AA47">
    <cfRule type="cellIs" dxfId="799" priority="271" operator="greaterThan">
      <formula>0.03</formula>
    </cfRule>
    <cfRule type="cellIs" dxfId="798" priority="272" stopIfTrue="1" operator="lessThan">
      <formula>-0.03</formula>
    </cfRule>
  </conditionalFormatting>
  <conditionalFormatting sqref="Y51">
    <cfRule type="cellIs" dxfId="797" priority="269" operator="greaterThan">
      <formula>0.03</formula>
    </cfRule>
    <cfRule type="cellIs" dxfId="796" priority="270" stopIfTrue="1" operator="lessThan">
      <formula>-0.03</formula>
    </cfRule>
  </conditionalFormatting>
  <conditionalFormatting sqref="Z51">
    <cfRule type="cellIs" dxfId="795" priority="267" operator="greaterThan">
      <formula>0.03</formula>
    </cfRule>
    <cfRule type="cellIs" dxfId="794" priority="268" stopIfTrue="1" operator="lessThan">
      <formula>-0.03</formula>
    </cfRule>
  </conditionalFormatting>
  <conditionalFormatting sqref="AA51">
    <cfRule type="cellIs" dxfId="793" priority="265" operator="greaterThan">
      <formula>0.03</formula>
    </cfRule>
    <cfRule type="cellIs" dxfId="792" priority="266" stopIfTrue="1" operator="lessThan">
      <formula>-0.03</formula>
    </cfRule>
  </conditionalFormatting>
  <conditionalFormatting sqref="Z55">
    <cfRule type="cellIs" dxfId="791" priority="261" operator="greaterThan">
      <formula>0.03</formula>
    </cfRule>
    <cfRule type="cellIs" dxfId="790" priority="262" stopIfTrue="1" operator="lessThan">
      <formula>-0.03</formula>
    </cfRule>
  </conditionalFormatting>
  <conditionalFormatting sqref="AA55">
    <cfRule type="cellIs" dxfId="789" priority="259" operator="greaterThan">
      <formula>0.03</formula>
    </cfRule>
    <cfRule type="cellIs" dxfId="788" priority="260" stopIfTrue="1" operator="lessThan">
      <formula>-0.03</formula>
    </cfRule>
  </conditionalFormatting>
  <conditionalFormatting sqref="Y59">
    <cfRule type="cellIs" dxfId="787" priority="257" operator="greaterThan">
      <formula>0.03</formula>
    </cfRule>
    <cfRule type="cellIs" dxfId="786" priority="258" stopIfTrue="1" operator="lessThan">
      <formula>-0.03</formula>
    </cfRule>
  </conditionalFormatting>
  <conditionalFormatting sqref="Z59">
    <cfRule type="cellIs" dxfId="785" priority="255" operator="greaterThan">
      <formula>0.03</formula>
    </cfRule>
    <cfRule type="cellIs" dxfId="784" priority="256" stopIfTrue="1" operator="lessThan">
      <formula>-0.03</formula>
    </cfRule>
  </conditionalFormatting>
  <conditionalFormatting sqref="AA59">
    <cfRule type="cellIs" dxfId="783" priority="253" operator="greaterThan">
      <formula>0.03</formula>
    </cfRule>
    <cfRule type="cellIs" dxfId="782" priority="254" stopIfTrue="1" operator="lessThan">
      <formula>-0.03</formula>
    </cfRule>
  </conditionalFormatting>
  <conditionalFormatting sqref="Y58:Z58">
    <cfRule type="cellIs" dxfId="781" priority="247" operator="greaterThan">
      <formula>0.03</formula>
    </cfRule>
    <cfRule type="cellIs" dxfId="780" priority="248" stopIfTrue="1" operator="lessThan">
      <formula>-0.03</formula>
    </cfRule>
  </conditionalFormatting>
  <conditionalFormatting sqref="Y50:Z50">
    <cfRule type="cellIs" dxfId="779" priority="251" operator="greaterThan">
      <formula>0.03</formula>
    </cfRule>
    <cfRule type="cellIs" dxfId="778" priority="252" stopIfTrue="1" operator="lessThan">
      <formula>-0.03</formula>
    </cfRule>
  </conditionalFormatting>
  <conditionalFormatting sqref="Y54:Z54">
    <cfRule type="cellIs" dxfId="777" priority="249" operator="greaterThan">
      <formula>0.03</formula>
    </cfRule>
    <cfRule type="cellIs" dxfId="776" priority="250" stopIfTrue="1" operator="lessThan">
      <formula>-0.03</formula>
    </cfRule>
  </conditionalFormatting>
  <conditionalFormatting sqref="Y62:Z62">
    <cfRule type="cellIs" dxfId="775" priority="245" operator="greaterThan">
      <formula>0.03</formula>
    </cfRule>
    <cfRule type="cellIs" dxfId="774" priority="246" stopIfTrue="1" operator="lessThan">
      <formula>-0.03</formula>
    </cfRule>
  </conditionalFormatting>
  <conditionalFormatting sqref="Y71">
    <cfRule type="cellIs" dxfId="773" priority="189" operator="greaterThan">
      <formula>0.03</formula>
    </cfRule>
    <cfRule type="cellIs" dxfId="772" priority="190" stopIfTrue="1" operator="lessThan">
      <formula>-0.03</formula>
    </cfRule>
  </conditionalFormatting>
  <conditionalFormatting sqref="V63:X78">
    <cfRule type="cellIs" dxfId="771" priority="203" operator="greaterThan">
      <formula>0.03</formula>
    </cfRule>
    <cfRule type="cellIs" dxfId="770" priority="204" stopIfTrue="1" operator="lessThan">
      <formula>-0.03</formula>
    </cfRule>
  </conditionalFormatting>
  <conditionalFormatting sqref="Y63">
    <cfRule type="cellIs" dxfId="769" priority="201" operator="greaterThan">
      <formula>0.03</formula>
    </cfRule>
    <cfRule type="cellIs" dxfId="768" priority="202" stopIfTrue="1" operator="lessThan">
      <formula>-0.03</formula>
    </cfRule>
  </conditionalFormatting>
  <conditionalFormatting sqref="Z63">
    <cfRule type="cellIs" dxfId="767" priority="199" operator="greaterThan">
      <formula>0.03</formula>
    </cfRule>
    <cfRule type="cellIs" dxfId="766" priority="200" stopIfTrue="1" operator="lessThan">
      <formula>-0.03</formula>
    </cfRule>
  </conditionalFormatting>
  <conditionalFormatting sqref="AA63">
    <cfRule type="cellIs" dxfId="765" priority="197" operator="greaterThan">
      <formula>0.03</formula>
    </cfRule>
    <cfRule type="cellIs" dxfId="764" priority="198" stopIfTrue="1" operator="lessThan">
      <formula>-0.03</formula>
    </cfRule>
  </conditionalFormatting>
  <conditionalFormatting sqref="Y67">
    <cfRule type="cellIs" dxfId="763" priority="195" operator="greaterThan">
      <formula>0.03</formula>
    </cfRule>
    <cfRule type="cellIs" dxfId="762" priority="196" stopIfTrue="1" operator="lessThan">
      <formula>-0.03</formula>
    </cfRule>
  </conditionalFormatting>
  <conditionalFormatting sqref="Z67">
    <cfRule type="cellIs" dxfId="761" priority="193" operator="greaterThan">
      <formula>0.03</formula>
    </cfRule>
    <cfRule type="cellIs" dxfId="760" priority="194" stopIfTrue="1" operator="lessThan">
      <formula>-0.03</formula>
    </cfRule>
  </conditionalFormatting>
  <conditionalFormatting sqref="AA67">
    <cfRule type="cellIs" dxfId="759" priority="191" operator="greaterThan">
      <formula>0.03</formula>
    </cfRule>
    <cfRule type="cellIs" dxfId="758" priority="192" stopIfTrue="1" operator="lessThan">
      <formula>-0.03</formula>
    </cfRule>
  </conditionalFormatting>
  <conditionalFormatting sqref="Z71">
    <cfRule type="cellIs" dxfId="757" priority="187" operator="greaterThan">
      <formula>0.03</formula>
    </cfRule>
    <cfRule type="cellIs" dxfId="756" priority="188" stopIfTrue="1" operator="lessThan">
      <formula>-0.03</formula>
    </cfRule>
  </conditionalFormatting>
  <conditionalFormatting sqref="AA71">
    <cfRule type="cellIs" dxfId="755" priority="185" operator="greaterThan">
      <formula>0.03</formula>
    </cfRule>
    <cfRule type="cellIs" dxfId="754" priority="186" stopIfTrue="1" operator="lessThan">
      <formula>-0.03</formula>
    </cfRule>
  </conditionalFormatting>
  <conditionalFormatting sqref="Y75">
    <cfRule type="cellIs" dxfId="753" priority="183" operator="greaterThan">
      <formula>0.03</formula>
    </cfRule>
    <cfRule type="cellIs" dxfId="752" priority="184" stopIfTrue="1" operator="lessThan">
      <formula>-0.03</formula>
    </cfRule>
  </conditionalFormatting>
  <conditionalFormatting sqref="Z75">
    <cfRule type="cellIs" dxfId="751" priority="181" operator="greaterThan">
      <formula>0.03</formula>
    </cfRule>
    <cfRule type="cellIs" dxfId="750" priority="182" stopIfTrue="1" operator="lessThan">
      <formula>-0.03</formula>
    </cfRule>
  </conditionalFormatting>
  <conditionalFormatting sqref="AA75">
    <cfRule type="cellIs" dxfId="749" priority="179" operator="greaterThan">
      <formula>0.03</formula>
    </cfRule>
    <cfRule type="cellIs" dxfId="748" priority="180" stopIfTrue="1" operator="lessThan">
      <formula>-0.03</formula>
    </cfRule>
  </conditionalFormatting>
  <conditionalFormatting sqref="Y74:Z74">
    <cfRule type="cellIs" dxfId="747" priority="173" operator="greaterThan">
      <formula>0.03</formula>
    </cfRule>
    <cfRule type="cellIs" dxfId="746" priority="174" stopIfTrue="1" operator="lessThan">
      <formula>-0.03</formula>
    </cfRule>
  </conditionalFormatting>
  <conditionalFormatting sqref="Y66:Z66">
    <cfRule type="cellIs" dxfId="745" priority="177" operator="greaterThan">
      <formula>0.03</formula>
    </cfRule>
    <cfRule type="cellIs" dxfId="744" priority="178" stopIfTrue="1" operator="lessThan">
      <formula>-0.03</formula>
    </cfRule>
  </conditionalFormatting>
  <conditionalFormatting sqref="Y70:Z70">
    <cfRule type="cellIs" dxfId="743" priority="175" operator="greaterThan">
      <formula>0.03</formula>
    </cfRule>
    <cfRule type="cellIs" dxfId="742" priority="176" stopIfTrue="1" operator="lessThan">
      <formula>-0.03</formula>
    </cfRule>
  </conditionalFormatting>
  <conditionalFormatting sqref="Y78:Z78">
    <cfRule type="cellIs" dxfId="741" priority="171" operator="greaterThan">
      <formula>0.03</formula>
    </cfRule>
    <cfRule type="cellIs" dxfId="740" priority="172" stopIfTrue="1" operator="lessThan">
      <formula>-0.03</formula>
    </cfRule>
  </conditionalFormatting>
  <conditionalFormatting sqref="Y99">
    <cfRule type="cellIs" dxfId="739" priority="115" operator="greaterThan">
      <formula>0.03</formula>
    </cfRule>
    <cfRule type="cellIs" dxfId="738" priority="116" stopIfTrue="1" operator="lessThan">
      <formula>-0.03</formula>
    </cfRule>
  </conditionalFormatting>
  <conditionalFormatting sqref="V91:X106">
    <cfRule type="cellIs" dxfId="737" priority="129" operator="greaterThan">
      <formula>0.03</formula>
    </cfRule>
    <cfRule type="cellIs" dxfId="736" priority="130" stopIfTrue="1" operator="lessThan">
      <formula>-0.03</formula>
    </cfRule>
  </conditionalFormatting>
  <conditionalFormatting sqref="Y91">
    <cfRule type="cellIs" dxfId="735" priority="127" operator="greaterThan">
      <formula>0.03</formula>
    </cfRule>
    <cfRule type="cellIs" dxfId="734" priority="128" stopIfTrue="1" operator="lessThan">
      <formula>-0.03</formula>
    </cfRule>
  </conditionalFormatting>
  <conditionalFormatting sqref="Z91">
    <cfRule type="cellIs" dxfId="733" priority="125" operator="greaterThan">
      <formula>0.03</formula>
    </cfRule>
    <cfRule type="cellIs" dxfId="732" priority="126" stopIfTrue="1" operator="lessThan">
      <formula>-0.03</formula>
    </cfRule>
  </conditionalFormatting>
  <conditionalFormatting sqref="AA91">
    <cfRule type="cellIs" dxfId="731" priority="123" operator="greaterThan">
      <formula>0.03</formula>
    </cfRule>
    <cfRule type="cellIs" dxfId="730" priority="124" stopIfTrue="1" operator="lessThan">
      <formula>-0.03</formula>
    </cfRule>
  </conditionalFormatting>
  <conditionalFormatting sqref="Y95">
    <cfRule type="cellIs" dxfId="729" priority="121" operator="greaterThan">
      <formula>0.03</formula>
    </cfRule>
    <cfRule type="cellIs" dxfId="728" priority="122" stopIfTrue="1" operator="lessThan">
      <formula>-0.03</formula>
    </cfRule>
  </conditionalFormatting>
  <conditionalFormatting sqref="Z95">
    <cfRule type="cellIs" dxfId="727" priority="119" operator="greaterThan">
      <formula>0.03</formula>
    </cfRule>
    <cfRule type="cellIs" dxfId="726" priority="120" stopIfTrue="1" operator="lessThan">
      <formula>-0.03</formula>
    </cfRule>
  </conditionalFormatting>
  <conditionalFormatting sqref="AA95">
    <cfRule type="cellIs" dxfId="725" priority="117" operator="greaterThan">
      <formula>0.03</formula>
    </cfRule>
    <cfRule type="cellIs" dxfId="724" priority="118" stopIfTrue="1" operator="lessThan">
      <formula>-0.03</formula>
    </cfRule>
  </conditionalFormatting>
  <conditionalFormatting sqref="Z99">
    <cfRule type="cellIs" dxfId="723" priority="113" operator="greaterThan">
      <formula>0.03</formula>
    </cfRule>
    <cfRule type="cellIs" dxfId="722" priority="114" stopIfTrue="1" operator="lessThan">
      <formula>-0.03</formula>
    </cfRule>
  </conditionalFormatting>
  <conditionalFormatting sqref="AA99">
    <cfRule type="cellIs" dxfId="721" priority="111" operator="greaterThan">
      <formula>0.03</formula>
    </cfRule>
    <cfRule type="cellIs" dxfId="720" priority="112" stopIfTrue="1" operator="lessThan">
      <formula>-0.03</formula>
    </cfRule>
  </conditionalFormatting>
  <conditionalFormatting sqref="Y102:Z102">
    <cfRule type="cellIs" dxfId="719" priority="99" operator="greaterThan">
      <formula>0.03</formula>
    </cfRule>
    <cfRule type="cellIs" dxfId="718" priority="100" stopIfTrue="1" operator="lessThan">
      <formula>-0.03</formula>
    </cfRule>
  </conditionalFormatting>
  <conditionalFormatting sqref="Y98:Z98">
    <cfRule type="cellIs" dxfId="717" priority="101" operator="greaterThan">
      <formula>0.03</formula>
    </cfRule>
    <cfRule type="cellIs" dxfId="716" priority="102" stopIfTrue="1" operator="lessThan">
      <formula>-0.03</formula>
    </cfRule>
  </conditionalFormatting>
  <conditionalFormatting sqref="Y106:Z106">
    <cfRule type="cellIs" dxfId="715" priority="97" operator="greaterThan">
      <formula>0.03</formula>
    </cfRule>
    <cfRule type="cellIs" dxfId="714" priority="9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AA137"/>
  <sheetViews>
    <sheetView workbookViewId="0">
      <selection activeCell="H35" sqref="H35"/>
    </sheetView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37</v>
      </c>
      <c r="T2" s="7" t="s">
        <v>38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>
        <f>Reference!B105</f>
        <v>0</v>
      </c>
      <c r="E3" s="13">
        <f>Reference!C105</f>
        <v>0</v>
      </c>
      <c r="F3" s="13">
        <f>Reference!D105</f>
        <v>0</v>
      </c>
      <c r="G3" s="13">
        <f>Reference!E105</f>
        <v>0</v>
      </c>
      <c r="H3" s="13">
        <f>Reference!F105</f>
        <v>0</v>
      </c>
      <c r="I3" s="13">
        <f>Reference!G105</f>
        <v>0</v>
      </c>
      <c r="J3" s="14">
        <f>H3/3600</f>
        <v>0</v>
      </c>
      <c r="L3" s="12">
        <f>Test!B105</f>
        <v>0</v>
      </c>
      <c r="M3" s="13">
        <f>Test!C105</f>
        <v>0</v>
      </c>
      <c r="N3" s="13">
        <f>Test!D105</f>
        <v>0</v>
      </c>
      <c r="O3" s="13">
        <f>Test!E105</f>
        <v>0</v>
      </c>
      <c r="P3" s="13">
        <f>Test!F105</f>
        <v>0</v>
      </c>
      <c r="Q3" s="13">
        <f>Test!G105</f>
        <v>0</v>
      </c>
      <c r="R3" s="14">
        <f>P3/3600</f>
        <v>0</v>
      </c>
      <c r="S3" s="13" t="e">
        <f>P3/H3</f>
        <v>#DIV/0!</v>
      </c>
      <c r="T3" s="13" t="e">
        <f>Q3/I3</f>
        <v>#DIV/0!</v>
      </c>
      <c r="U3" s="58"/>
      <c r="V3" s="41" t="e">
        <f>bdrate($D3:$D6,E3:E6,$L3:$L6,M3:M6)</f>
        <v>#VALUE!</v>
      </c>
      <c r="W3" s="46" t="e">
        <f>bdrate($D3:$D6,F3:F6,$L3:$L6,N3:N6)</f>
        <v>#VALUE!</v>
      </c>
      <c r="X3" s="47" t="e">
        <f>bdrate($D3:$D6,G3:G6,$L3:$L6,O3:O6)</f>
        <v>#VALUE!</v>
      </c>
      <c r="Y3" s="41" t="e">
        <f>bdrateOld($D3:$D6,E3:E6,$L3:$L6,M3:M6)</f>
        <v>#VALUE!</v>
      </c>
      <c r="Z3" s="46" t="e">
        <f>bdrateOld($D3:$D6,F3:F6,$L3:$L6,N3:N6)</f>
        <v>#VALUE!</v>
      </c>
      <c r="AA3" s="47" t="e">
        <f>bdrateOld($D3:$D6,G3:G6,$L3:$L6,O3:O6)</f>
        <v>#VALUE!</v>
      </c>
    </row>
    <row r="4" spans="1:27" x14ac:dyDescent="0.2">
      <c r="A4" s="16" t="s">
        <v>44</v>
      </c>
      <c r="B4" s="16"/>
      <c r="C4" s="16">
        <v>27</v>
      </c>
      <c r="D4" s="17">
        <f>Reference!B106</f>
        <v>0</v>
      </c>
      <c r="E4" s="18">
        <f>Reference!C106</f>
        <v>0</v>
      </c>
      <c r="F4" s="18">
        <f>Reference!D106</f>
        <v>0</v>
      </c>
      <c r="G4" s="18">
        <f>Reference!E106</f>
        <v>0</v>
      </c>
      <c r="H4" s="18">
        <f>Reference!F106</f>
        <v>0</v>
      </c>
      <c r="I4" s="18">
        <f>Reference!G106</f>
        <v>0</v>
      </c>
      <c r="J4" s="19">
        <f t="shared" ref="J4:J59" si="0">H4/3600</f>
        <v>0</v>
      </c>
      <c r="L4" s="17">
        <f>Test!B106</f>
        <v>0</v>
      </c>
      <c r="M4" s="18">
        <f>Test!C106</f>
        <v>0</v>
      </c>
      <c r="N4" s="18">
        <f>Test!D106</f>
        <v>0</v>
      </c>
      <c r="O4" s="18">
        <f>Test!E106</f>
        <v>0</v>
      </c>
      <c r="P4" s="18">
        <f>Test!F106</f>
        <v>0</v>
      </c>
      <c r="Q4" s="18">
        <f>Test!G106</f>
        <v>0</v>
      </c>
      <c r="R4" s="19">
        <f t="shared" ref="R4:R59" si="1">P4/3600</f>
        <v>0</v>
      </c>
      <c r="S4" s="18" t="e">
        <f t="shared" ref="S4:T46" si="2">P4/H4</f>
        <v>#DIV/0!</v>
      </c>
      <c r="T4" s="18" t="e">
        <f t="shared" si="2"/>
        <v>#DIV/0!</v>
      </c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>
        <f>Reference!B107</f>
        <v>0</v>
      </c>
      <c r="E5" s="18">
        <f>Reference!C107</f>
        <v>0</v>
      </c>
      <c r="F5" s="18">
        <f>Reference!D107</f>
        <v>0</v>
      </c>
      <c r="G5" s="18">
        <f>Reference!E107</f>
        <v>0</v>
      </c>
      <c r="H5" s="18">
        <f>Reference!F107</f>
        <v>0</v>
      </c>
      <c r="I5" s="18">
        <f>Reference!G107</f>
        <v>0</v>
      </c>
      <c r="J5" s="19">
        <f t="shared" si="0"/>
        <v>0</v>
      </c>
      <c r="L5" s="17">
        <f>Test!B107</f>
        <v>0</v>
      </c>
      <c r="M5" s="18">
        <f>Test!C107</f>
        <v>0</v>
      </c>
      <c r="N5" s="18">
        <f>Test!D107</f>
        <v>0</v>
      </c>
      <c r="O5" s="18">
        <f>Test!E107</f>
        <v>0</v>
      </c>
      <c r="P5" s="18">
        <f>Test!F107</f>
        <v>0</v>
      </c>
      <c r="Q5" s="18">
        <f>Test!G107</f>
        <v>0</v>
      </c>
      <c r="R5" s="19">
        <f t="shared" si="1"/>
        <v>0</v>
      </c>
      <c r="S5" s="18" t="e">
        <f t="shared" si="2"/>
        <v>#DIV/0!</v>
      </c>
      <c r="T5" s="18" t="e">
        <f t="shared" si="2"/>
        <v>#DIV/0!</v>
      </c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>
        <f>Reference!B108</f>
        <v>0</v>
      </c>
      <c r="E6" s="23">
        <f>Reference!C108</f>
        <v>0</v>
      </c>
      <c r="F6" s="23">
        <f>Reference!D108</f>
        <v>0</v>
      </c>
      <c r="G6" s="23">
        <f>Reference!E108</f>
        <v>0</v>
      </c>
      <c r="H6" s="23">
        <f>Reference!F108</f>
        <v>0</v>
      </c>
      <c r="I6" s="23">
        <f>Reference!G108</f>
        <v>0</v>
      </c>
      <c r="J6" s="24">
        <f t="shared" si="0"/>
        <v>0</v>
      </c>
      <c r="L6" s="22">
        <f>Test!B108</f>
        <v>0</v>
      </c>
      <c r="M6" s="23">
        <f>Test!C108</f>
        <v>0</v>
      </c>
      <c r="N6" s="23">
        <f>Test!D108</f>
        <v>0</v>
      </c>
      <c r="O6" s="23">
        <f>Test!E108</f>
        <v>0</v>
      </c>
      <c r="P6" s="23">
        <f>Test!F108</f>
        <v>0</v>
      </c>
      <c r="Q6" s="23">
        <f>Test!G108</f>
        <v>0</v>
      </c>
      <c r="R6" s="24">
        <f t="shared" si="1"/>
        <v>0</v>
      </c>
      <c r="S6" s="18" t="e">
        <f t="shared" si="2"/>
        <v>#DIV/0!</v>
      </c>
      <c r="T6" s="18" t="e">
        <f t="shared" si="2"/>
        <v>#DIV/0!</v>
      </c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>
        <f>Reference!B109</f>
        <v>0</v>
      </c>
      <c r="E7" s="13">
        <f>Reference!C109</f>
        <v>0</v>
      </c>
      <c r="F7" s="13">
        <f>Reference!D109</f>
        <v>0</v>
      </c>
      <c r="G7" s="13">
        <f>Reference!E109</f>
        <v>0</v>
      </c>
      <c r="H7" s="13">
        <f>Reference!F109</f>
        <v>0</v>
      </c>
      <c r="I7" s="13">
        <f>Reference!G109</f>
        <v>0</v>
      </c>
      <c r="J7" s="14">
        <f t="shared" si="0"/>
        <v>0</v>
      </c>
      <c r="L7" s="12">
        <f>Test!B109</f>
        <v>0</v>
      </c>
      <c r="M7" s="13">
        <f>Test!C109</f>
        <v>0</v>
      </c>
      <c r="N7" s="13">
        <f>Test!D109</f>
        <v>0</v>
      </c>
      <c r="O7" s="13">
        <f>Test!E109</f>
        <v>0</v>
      </c>
      <c r="P7" s="13">
        <f>Test!F109</f>
        <v>0</v>
      </c>
      <c r="Q7" s="13">
        <f>Test!G109</f>
        <v>0</v>
      </c>
      <c r="R7" s="14">
        <f t="shared" si="1"/>
        <v>0</v>
      </c>
      <c r="S7" s="18" t="e">
        <f t="shared" si="2"/>
        <v>#DIV/0!</v>
      </c>
      <c r="T7" s="18" t="e">
        <f t="shared" si="2"/>
        <v>#DIV/0!</v>
      </c>
      <c r="U7" s="59"/>
      <c r="V7" s="41" t="e">
        <f>bdrate($D7:$D10,E7:E10,$L7:$L10,M7:M10)</f>
        <v>#VALUE!</v>
      </c>
      <c r="W7" s="46" t="e">
        <f>bdrate($D7:$D10,F7:F10,$L7:$L10,N7:N10)</f>
        <v>#VALUE!</v>
      </c>
      <c r="X7" s="46" t="e">
        <f>bdrate($D7:$D10,G7:G10,$L7:$L10,O7:O10)</f>
        <v>#VALUE!</v>
      </c>
      <c r="Y7" s="44" t="e">
        <f>bdrateOld($D7:$D10,E7:E10,$L7:$L10,M7:M10)</f>
        <v>#VALUE!</v>
      </c>
      <c r="Z7" s="48" t="e">
        <f>bdrateOld($D7:$D10,F7:F10,$L7:$L10,N7:N10)</f>
        <v>#VALUE!</v>
      </c>
      <c r="AA7" s="49" t="e">
        <f>bdrateOld($D7:$D10,G7:G10,$L7:$L10,O7:O10)</f>
        <v>#VALUE!</v>
      </c>
    </row>
    <row r="8" spans="1:27" x14ac:dyDescent="0.2">
      <c r="A8" s="16"/>
      <c r="B8" s="16"/>
      <c r="C8" s="16">
        <v>27</v>
      </c>
      <c r="D8" s="17">
        <f>Reference!B110</f>
        <v>0</v>
      </c>
      <c r="E8" s="18">
        <f>Reference!C110</f>
        <v>0</v>
      </c>
      <c r="F8" s="18">
        <f>Reference!D110</f>
        <v>0</v>
      </c>
      <c r="G8" s="18">
        <f>Reference!E110</f>
        <v>0</v>
      </c>
      <c r="H8" s="18">
        <f>Reference!F110</f>
        <v>0</v>
      </c>
      <c r="I8" s="18">
        <f>Reference!G110</f>
        <v>0</v>
      </c>
      <c r="J8" s="19">
        <f t="shared" si="0"/>
        <v>0</v>
      </c>
      <c r="L8" s="17">
        <f>Test!B110</f>
        <v>0</v>
      </c>
      <c r="M8" s="18">
        <f>Test!C110</f>
        <v>0</v>
      </c>
      <c r="N8" s="18">
        <f>Test!D110</f>
        <v>0</v>
      </c>
      <c r="O8" s="18">
        <f>Test!E110</f>
        <v>0</v>
      </c>
      <c r="P8" s="18">
        <f>Test!F110</f>
        <v>0</v>
      </c>
      <c r="Q8" s="18">
        <f>Test!G110</f>
        <v>0</v>
      </c>
      <c r="R8" s="19">
        <f t="shared" si="1"/>
        <v>0</v>
      </c>
      <c r="S8" s="18" t="e">
        <f t="shared" si="2"/>
        <v>#DIV/0!</v>
      </c>
      <c r="T8" s="18" t="e">
        <f t="shared" si="2"/>
        <v>#DIV/0!</v>
      </c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>
        <f>Reference!B111</f>
        <v>0</v>
      </c>
      <c r="E9" s="18">
        <f>Reference!C111</f>
        <v>0</v>
      </c>
      <c r="F9" s="18">
        <f>Reference!D111</f>
        <v>0</v>
      </c>
      <c r="G9" s="18">
        <f>Reference!E111</f>
        <v>0</v>
      </c>
      <c r="H9" s="18">
        <f>Reference!F111</f>
        <v>0</v>
      </c>
      <c r="I9" s="18">
        <f>Reference!G111</f>
        <v>0</v>
      </c>
      <c r="J9" s="19">
        <f t="shared" si="0"/>
        <v>0</v>
      </c>
      <c r="L9" s="17">
        <f>Test!B111</f>
        <v>0</v>
      </c>
      <c r="M9" s="18">
        <f>Test!C111</f>
        <v>0</v>
      </c>
      <c r="N9" s="18">
        <f>Test!D111</f>
        <v>0</v>
      </c>
      <c r="O9" s="18">
        <f>Test!E111</f>
        <v>0</v>
      </c>
      <c r="P9" s="18">
        <f>Test!F111</f>
        <v>0</v>
      </c>
      <c r="Q9" s="18">
        <f>Test!G111</f>
        <v>0</v>
      </c>
      <c r="R9" s="19">
        <f t="shared" si="1"/>
        <v>0</v>
      </c>
      <c r="S9" s="18" t="e">
        <f t="shared" si="2"/>
        <v>#DIV/0!</v>
      </c>
      <c r="T9" s="18" t="e">
        <f t="shared" si="2"/>
        <v>#DIV/0!</v>
      </c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>
        <f>Reference!B112</f>
        <v>0</v>
      </c>
      <c r="E10" s="23">
        <f>Reference!C112</f>
        <v>0</v>
      </c>
      <c r="F10" s="23">
        <f>Reference!D112</f>
        <v>0</v>
      </c>
      <c r="G10" s="23">
        <f>Reference!E112</f>
        <v>0</v>
      </c>
      <c r="H10" s="23">
        <f>Reference!F112</f>
        <v>0</v>
      </c>
      <c r="I10" s="23">
        <f>Reference!G112</f>
        <v>0</v>
      </c>
      <c r="J10" s="24">
        <f t="shared" si="0"/>
        <v>0</v>
      </c>
      <c r="L10" s="22">
        <f>Test!B112</f>
        <v>0</v>
      </c>
      <c r="M10" s="23">
        <f>Test!C112</f>
        <v>0</v>
      </c>
      <c r="N10" s="23">
        <f>Test!D112</f>
        <v>0</v>
      </c>
      <c r="O10" s="23">
        <f>Test!E112</f>
        <v>0</v>
      </c>
      <c r="P10" s="23">
        <f>Test!F112</f>
        <v>0</v>
      </c>
      <c r="Q10" s="23">
        <f>Test!G112</f>
        <v>0</v>
      </c>
      <c r="R10" s="24">
        <f t="shared" si="1"/>
        <v>0</v>
      </c>
      <c r="S10" s="18" t="e">
        <f t="shared" si="2"/>
        <v>#DIV/0!</v>
      </c>
      <c r="T10" s="18" t="e">
        <f t="shared" si="2"/>
        <v>#DIV/0!</v>
      </c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>
        <f>Reference!B113</f>
        <v>0</v>
      </c>
      <c r="E11" s="13">
        <f>Reference!C113</f>
        <v>0</v>
      </c>
      <c r="F11" s="13">
        <f>Reference!D113</f>
        <v>0</v>
      </c>
      <c r="G11" s="13">
        <f>Reference!E113</f>
        <v>0</v>
      </c>
      <c r="H11" s="13">
        <f>Reference!F113</f>
        <v>0</v>
      </c>
      <c r="I11" s="13">
        <f>Reference!G113</f>
        <v>0</v>
      </c>
      <c r="J11" s="14">
        <f t="shared" si="0"/>
        <v>0</v>
      </c>
      <c r="L11" s="12">
        <f>Test!B113</f>
        <v>0</v>
      </c>
      <c r="M11" s="13">
        <f>Test!C113</f>
        <v>0</v>
      </c>
      <c r="N11" s="13">
        <f>Test!D113</f>
        <v>0</v>
      </c>
      <c r="O11" s="13">
        <f>Test!E113</f>
        <v>0</v>
      </c>
      <c r="P11" s="13">
        <f>Test!F113</f>
        <v>0</v>
      </c>
      <c r="Q11" s="13">
        <f>Test!G113</f>
        <v>0</v>
      </c>
      <c r="R11" s="14">
        <f t="shared" si="1"/>
        <v>0</v>
      </c>
      <c r="S11" s="18" t="e">
        <f t="shared" si="2"/>
        <v>#DIV/0!</v>
      </c>
      <c r="T11" s="18" t="e">
        <f t="shared" si="2"/>
        <v>#DIV/0!</v>
      </c>
      <c r="U11" s="59"/>
      <c r="V11" s="41" t="e">
        <f>bdrate($D11:$D14,E11:E14,$L11:$L14,M11:M14)</f>
        <v>#VALUE!</v>
      </c>
      <c r="W11" s="46" t="e">
        <f>bdrate($D11:$D14,F11:F14,$L11:$L14,N11:N14)</f>
        <v>#VALUE!</v>
      </c>
      <c r="X11" s="46" t="e">
        <f>bdrate($D11:$D14,G11:G14,$L11:$L14,O11:O14)</f>
        <v>#VALUE!</v>
      </c>
      <c r="Y11" s="44" t="e">
        <f>bdrateOld($D11:$D14,E11:E14,$L11:$L14,M11:M14)</f>
        <v>#VALUE!</v>
      </c>
      <c r="Z11" s="48" t="e">
        <f>bdrateOld($D11:$D14,F11:F14,$L11:$L14,N11:N14)</f>
        <v>#VALUE!</v>
      </c>
      <c r="AA11" s="49" t="e">
        <f>bdrateOld($D11:$D14,G11:G14,$L11:$L14,O11:O14)</f>
        <v>#VALUE!</v>
      </c>
    </row>
    <row r="12" spans="1:27" x14ac:dyDescent="0.2">
      <c r="A12" s="35"/>
      <c r="B12" s="35"/>
      <c r="C12" s="35">
        <v>27</v>
      </c>
      <c r="D12" s="17">
        <f>Reference!B114</f>
        <v>0</v>
      </c>
      <c r="E12" s="18">
        <f>Reference!C114</f>
        <v>0</v>
      </c>
      <c r="F12" s="18">
        <f>Reference!D114</f>
        <v>0</v>
      </c>
      <c r="G12" s="18">
        <f>Reference!E114</f>
        <v>0</v>
      </c>
      <c r="H12" s="18">
        <f>Reference!F114</f>
        <v>0</v>
      </c>
      <c r="I12" s="18">
        <f>Reference!G114</f>
        <v>0</v>
      </c>
      <c r="J12" s="19">
        <f t="shared" si="0"/>
        <v>0</v>
      </c>
      <c r="L12" s="17">
        <f>Test!B114</f>
        <v>0</v>
      </c>
      <c r="M12" s="18">
        <f>Test!C114</f>
        <v>0</v>
      </c>
      <c r="N12" s="18">
        <f>Test!D114</f>
        <v>0</v>
      </c>
      <c r="O12" s="18">
        <f>Test!E114</f>
        <v>0</v>
      </c>
      <c r="P12" s="18">
        <f>Test!F114</f>
        <v>0</v>
      </c>
      <c r="Q12" s="18">
        <f>Test!G114</f>
        <v>0</v>
      </c>
      <c r="R12" s="19">
        <f t="shared" si="1"/>
        <v>0</v>
      </c>
      <c r="S12" s="18" t="e">
        <f t="shared" si="2"/>
        <v>#DIV/0!</v>
      </c>
      <c r="T12" s="18" t="e">
        <f t="shared" si="2"/>
        <v>#DIV/0!</v>
      </c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>
        <f>Reference!B115</f>
        <v>0</v>
      </c>
      <c r="E13" s="18">
        <f>Reference!C115</f>
        <v>0</v>
      </c>
      <c r="F13" s="18">
        <f>Reference!D115</f>
        <v>0</v>
      </c>
      <c r="G13" s="18">
        <f>Reference!E115</f>
        <v>0</v>
      </c>
      <c r="H13" s="18">
        <f>Reference!F115</f>
        <v>0</v>
      </c>
      <c r="I13" s="18">
        <f>Reference!G115</f>
        <v>0</v>
      </c>
      <c r="J13" s="19">
        <f t="shared" si="0"/>
        <v>0</v>
      </c>
      <c r="L13" s="17">
        <f>Test!B115</f>
        <v>0</v>
      </c>
      <c r="M13" s="18">
        <f>Test!C115</f>
        <v>0</v>
      </c>
      <c r="N13" s="18">
        <f>Test!D115</f>
        <v>0</v>
      </c>
      <c r="O13" s="18">
        <f>Test!E115</f>
        <v>0</v>
      </c>
      <c r="P13" s="18">
        <f>Test!F115</f>
        <v>0</v>
      </c>
      <c r="Q13" s="18">
        <f>Test!G115</f>
        <v>0</v>
      </c>
      <c r="R13" s="19">
        <f t="shared" si="1"/>
        <v>0</v>
      </c>
      <c r="S13" s="18" t="e">
        <f t="shared" si="2"/>
        <v>#DIV/0!</v>
      </c>
      <c r="T13" s="18" t="e">
        <f t="shared" si="2"/>
        <v>#DIV/0!</v>
      </c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>
        <f>Reference!B116</f>
        <v>0</v>
      </c>
      <c r="E14" s="23">
        <f>Reference!C116</f>
        <v>0</v>
      </c>
      <c r="F14" s="23">
        <f>Reference!D116</f>
        <v>0</v>
      </c>
      <c r="G14" s="23">
        <f>Reference!E116</f>
        <v>0</v>
      </c>
      <c r="H14" s="23">
        <f>Reference!F116</f>
        <v>0</v>
      </c>
      <c r="I14" s="23">
        <f>Reference!G116</f>
        <v>0</v>
      </c>
      <c r="J14" s="24">
        <f t="shared" si="0"/>
        <v>0</v>
      </c>
      <c r="L14" s="22">
        <f>Test!B116</f>
        <v>0</v>
      </c>
      <c r="M14" s="23">
        <f>Test!C116</f>
        <v>0</v>
      </c>
      <c r="N14" s="23">
        <f>Test!D116</f>
        <v>0</v>
      </c>
      <c r="O14" s="23">
        <f>Test!E116</f>
        <v>0</v>
      </c>
      <c r="P14" s="23">
        <f>Test!F116</f>
        <v>0</v>
      </c>
      <c r="Q14" s="23">
        <f>Test!G116</f>
        <v>0</v>
      </c>
      <c r="R14" s="24">
        <f t="shared" si="1"/>
        <v>0</v>
      </c>
      <c r="S14" s="18" t="e">
        <f t="shared" si="2"/>
        <v>#DIV/0!</v>
      </c>
      <c r="T14" s="18" t="e">
        <f t="shared" si="2"/>
        <v>#DIV/0!</v>
      </c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>
        <f>Reference!B117</f>
        <v>0</v>
      </c>
      <c r="E15" s="13">
        <f>Reference!C117</f>
        <v>0</v>
      </c>
      <c r="F15" s="13">
        <f>Reference!D117</f>
        <v>0</v>
      </c>
      <c r="G15" s="13">
        <f>Reference!E117</f>
        <v>0</v>
      </c>
      <c r="H15" s="13">
        <f>Reference!F117</f>
        <v>0</v>
      </c>
      <c r="I15" s="13">
        <f>Reference!G117</f>
        <v>0</v>
      </c>
      <c r="J15" s="14">
        <f t="shared" si="0"/>
        <v>0</v>
      </c>
      <c r="L15" s="12">
        <f>Test!B117</f>
        <v>0</v>
      </c>
      <c r="M15" s="13">
        <f>Test!C117</f>
        <v>0</v>
      </c>
      <c r="N15" s="13">
        <f>Test!D117</f>
        <v>0</v>
      </c>
      <c r="O15" s="13">
        <f>Test!E117</f>
        <v>0</v>
      </c>
      <c r="P15" s="13">
        <f>Test!F117</f>
        <v>0</v>
      </c>
      <c r="Q15" s="13">
        <f>Test!G117</f>
        <v>0</v>
      </c>
      <c r="R15" s="14">
        <f t="shared" si="1"/>
        <v>0</v>
      </c>
      <c r="S15" s="13" t="e">
        <f>P15/H15</f>
        <v>#DIV/0!</v>
      </c>
      <c r="T15" s="13" t="e">
        <f>Q15/I15</f>
        <v>#DIV/0!</v>
      </c>
      <c r="U15" s="58"/>
      <c r="V15" s="41" t="e">
        <f>bdrate($D15:$D18,E15:E18,$L15:$L18,M15:M18)</f>
        <v>#VALUE!</v>
      </c>
      <c r="W15" s="46" t="e">
        <f>bdrate($D15:$D18,F15:F18,$L15:$L18,N15:N18)</f>
        <v>#VALUE!</v>
      </c>
      <c r="X15" s="47" t="e">
        <f>bdrate($D15:$D18,G15:G18,$L15:$L18,O15:O18)</f>
        <v>#VALUE!</v>
      </c>
      <c r="Y15" s="41" t="e">
        <f>bdrateOld($D15:$D18,E15:E18,$L15:$L18,M15:M18)</f>
        <v>#VALUE!</v>
      </c>
      <c r="Z15" s="46" t="e">
        <f>bdrateOld($D15:$D18,F15:F18,$L15:$L18,N15:N18)</f>
        <v>#VALUE!</v>
      </c>
      <c r="AA15" s="47" t="e">
        <f>bdrateOld($D15:$D18,G15:G18,$L15:$L18,O15:O18)</f>
        <v>#VALUE!</v>
      </c>
    </row>
    <row r="16" spans="1:27" x14ac:dyDescent="0.2">
      <c r="A16" s="16" t="s">
        <v>44</v>
      </c>
      <c r="B16" s="16"/>
      <c r="C16" s="16">
        <v>27</v>
      </c>
      <c r="D16" s="17">
        <f>Reference!B118</f>
        <v>0</v>
      </c>
      <c r="E16" s="18">
        <f>Reference!C118</f>
        <v>0</v>
      </c>
      <c r="F16" s="18">
        <f>Reference!D118</f>
        <v>0</v>
      </c>
      <c r="G16" s="18">
        <f>Reference!E118</f>
        <v>0</v>
      </c>
      <c r="H16" s="18">
        <f>Reference!F118</f>
        <v>0</v>
      </c>
      <c r="I16" s="18">
        <f>Reference!G118</f>
        <v>0</v>
      </c>
      <c r="J16" s="19">
        <f t="shared" si="0"/>
        <v>0</v>
      </c>
      <c r="L16" s="17">
        <f>Test!B118</f>
        <v>0</v>
      </c>
      <c r="M16" s="18">
        <f>Test!C118</f>
        <v>0</v>
      </c>
      <c r="N16" s="18">
        <f>Test!D118</f>
        <v>0</v>
      </c>
      <c r="O16" s="18">
        <f>Test!E118</f>
        <v>0</v>
      </c>
      <c r="P16" s="18">
        <f>Test!F118</f>
        <v>0</v>
      </c>
      <c r="Q16" s="18">
        <f>Test!G118</f>
        <v>0</v>
      </c>
      <c r="R16" s="19">
        <f t="shared" si="1"/>
        <v>0</v>
      </c>
      <c r="S16" s="18" t="e">
        <f t="shared" ref="S16:S26" si="3">P16/H16</f>
        <v>#DIV/0!</v>
      </c>
      <c r="T16" s="18" t="e">
        <f t="shared" ref="T16:T26" si="4">Q16/I16</f>
        <v>#DIV/0!</v>
      </c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>
        <f>Reference!B119</f>
        <v>0</v>
      </c>
      <c r="E17" s="18">
        <f>Reference!C119</f>
        <v>0</v>
      </c>
      <c r="F17" s="18">
        <f>Reference!D119</f>
        <v>0</v>
      </c>
      <c r="G17" s="18">
        <f>Reference!E119</f>
        <v>0</v>
      </c>
      <c r="H17" s="18">
        <f>Reference!F119</f>
        <v>0</v>
      </c>
      <c r="I17" s="18">
        <f>Reference!G119</f>
        <v>0</v>
      </c>
      <c r="J17" s="19">
        <f t="shared" si="0"/>
        <v>0</v>
      </c>
      <c r="L17" s="17">
        <f>Test!B119</f>
        <v>0</v>
      </c>
      <c r="M17" s="18">
        <f>Test!C119</f>
        <v>0</v>
      </c>
      <c r="N17" s="18">
        <f>Test!D119</f>
        <v>0</v>
      </c>
      <c r="O17" s="18">
        <f>Test!E119</f>
        <v>0</v>
      </c>
      <c r="P17" s="18">
        <f>Test!F119</f>
        <v>0</v>
      </c>
      <c r="Q17" s="18">
        <f>Test!G119</f>
        <v>0</v>
      </c>
      <c r="R17" s="19">
        <f t="shared" si="1"/>
        <v>0</v>
      </c>
      <c r="S17" s="18" t="e">
        <f t="shared" si="3"/>
        <v>#DIV/0!</v>
      </c>
      <c r="T17" s="18" t="e">
        <f t="shared" si="4"/>
        <v>#DIV/0!</v>
      </c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>
        <f>Reference!B120</f>
        <v>0</v>
      </c>
      <c r="E18" s="23">
        <f>Reference!C120</f>
        <v>0</v>
      </c>
      <c r="F18" s="23">
        <f>Reference!D120</f>
        <v>0</v>
      </c>
      <c r="G18" s="23">
        <f>Reference!E120</f>
        <v>0</v>
      </c>
      <c r="H18" s="23">
        <f>Reference!F120</f>
        <v>0</v>
      </c>
      <c r="I18" s="23">
        <f>Reference!G120</f>
        <v>0</v>
      </c>
      <c r="J18" s="24">
        <f t="shared" si="0"/>
        <v>0</v>
      </c>
      <c r="L18" s="22">
        <f>Test!B120</f>
        <v>0</v>
      </c>
      <c r="M18" s="23">
        <f>Test!C120</f>
        <v>0</v>
      </c>
      <c r="N18" s="23">
        <f>Test!D120</f>
        <v>0</v>
      </c>
      <c r="O18" s="23">
        <f>Test!E120</f>
        <v>0</v>
      </c>
      <c r="P18" s="23">
        <f>Test!F120</f>
        <v>0</v>
      </c>
      <c r="Q18" s="23">
        <f>Test!G120</f>
        <v>0</v>
      </c>
      <c r="R18" s="24">
        <f t="shared" si="1"/>
        <v>0</v>
      </c>
      <c r="S18" s="18" t="e">
        <f t="shared" si="3"/>
        <v>#DIV/0!</v>
      </c>
      <c r="T18" s="18" t="e">
        <f t="shared" si="4"/>
        <v>#DIV/0!</v>
      </c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>
        <f>Reference!B121</f>
        <v>0</v>
      </c>
      <c r="E19" s="13">
        <f>Reference!C121</f>
        <v>0</v>
      </c>
      <c r="F19" s="13">
        <f>Reference!D121</f>
        <v>0</v>
      </c>
      <c r="G19" s="13">
        <f>Reference!E121</f>
        <v>0</v>
      </c>
      <c r="H19" s="13">
        <f>Reference!F121</f>
        <v>0</v>
      </c>
      <c r="I19" s="13">
        <f>Reference!G121</f>
        <v>0</v>
      </c>
      <c r="J19" s="14">
        <f t="shared" si="0"/>
        <v>0</v>
      </c>
      <c r="L19" s="12">
        <f>Test!B121</f>
        <v>0</v>
      </c>
      <c r="M19" s="13">
        <f>Test!C121</f>
        <v>0</v>
      </c>
      <c r="N19" s="13">
        <f>Test!D121</f>
        <v>0</v>
      </c>
      <c r="O19" s="13">
        <f>Test!E121</f>
        <v>0</v>
      </c>
      <c r="P19" s="13">
        <f>Test!F121</f>
        <v>0</v>
      </c>
      <c r="Q19" s="13">
        <f>Test!G121</f>
        <v>0</v>
      </c>
      <c r="R19" s="14">
        <f t="shared" si="1"/>
        <v>0</v>
      </c>
      <c r="S19" s="18" t="e">
        <f t="shared" si="3"/>
        <v>#DIV/0!</v>
      </c>
      <c r="T19" s="18" t="e">
        <f t="shared" si="4"/>
        <v>#DIV/0!</v>
      </c>
      <c r="U19" s="59"/>
      <c r="V19" s="41" t="e">
        <f>bdrate($D19:$D22,E19:E22,$L19:$L22,M19:M22)</f>
        <v>#VALUE!</v>
      </c>
      <c r="W19" s="46" t="e">
        <f>bdrate($D19:$D22,F19:F22,$L19:$L22,N19:N22)</f>
        <v>#VALUE!</v>
      </c>
      <c r="X19" s="46" t="e">
        <f>bdrate($D19:$D22,G19:G22,$L19:$L22,O19:O22)</f>
        <v>#VALUE!</v>
      </c>
      <c r="Y19" s="44" t="e">
        <f>bdrateOld($D19:$D22,E19:E22,$L19:$L22,M19:M22)</f>
        <v>#VALUE!</v>
      </c>
      <c r="Z19" s="48" t="e">
        <f>bdrateOld($D19:$D22,F19:F22,$L19:$L22,N19:N22)</f>
        <v>#VALUE!</v>
      </c>
      <c r="AA19" s="49" t="e">
        <f>bdrateOld($D19:$D22,G19:G22,$L19:$L22,O19:O22)</f>
        <v>#VALUE!</v>
      </c>
    </row>
    <row r="20" spans="1:27" x14ac:dyDescent="0.2">
      <c r="A20" s="16"/>
      <c r="B20" s="16"/>
      <c r="C20" s="16">
        <v>27</v>
      </c>
      <c r="D20" s="17">
        <f>Reference!B122</f>
        <v>0</v>
      </c>
      <c r="E20" s="18">
        <f>Reference!C122</f>
        <v>0</v>
      </c>
      <c r="F20" s="18">
        <f>Reference!D122</f>
        <v>0</v>
      </c>
      <c r="G20" s="18">
        <f>Reference!E122</f>
        <v>0</v>
      </c>
      <c r="H20" s="18">
        <f>Reference!F122</f>
        <v>0</v>
      </c>
      <c r="I20" s="18">
        <f>Reference!G122</f>
        <v>0</v>
      </c>
      <c r="J20" s="19">
        <f t="shared" si="0"/>
        <v>0</v>
      </c>
      <c r="L20" s="17">
        <f>Test!B122</f>
        <v>0</v>
      </c>
      <c r="M20" s="18">
        <f>Test!C122</f>
        <v>0</v>
      </c>
      <c r="N20" s="18">
        <f>Test!D122</f>
        <v>0</v>
      </c>
      <c r="O20" s="18">
        <f>Test!E122</f>
        <v>0</v>
      </c>
      <c r="P20" s="18">
        <f>Test!F122</f>
        <v>0</v>
      </c>
      <c r="Q20" s="18">
        <f>Test!G122</f>
        <v>0</v>
      </c>
      <c r="R20" s="19">
        <f t="shared" si="1"/>
        <v>0</v>
      </c>
      <c r="S20" s="18" t="e">
        <f t="shared" si="3"/>
        <v>#DIV/0!</v>
      </c>
      <c r="T20" s="18" t="e">
        <f t="shared" si="4"/>
        <v>#DIV/0!</v>
      </c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>
        <f>Reference!B123</f>
        <v>0</v>
      </c>
      <c r="E21" s="18">
        <f>Reference!C123</f>
        <v>0</v>
      </c>
      <c r="F21" s="18">
        <f>Reference!D123</f>
        <v>0</v>
      </c>
      <c r="G21" s="18">
        <f>Reference!E123</f>
        <v>0</v>
      </c>
      <c r="H21" s="18">
        <f>Reference!F123</f>
        <v>0</v>
      </c>
      <c r="I21" s="18">
        <f>Reference!G123</f>
        <v>0</v>
      </c>
      <c r="J21" s="19">
        <f t="shared" si="0"/>
        <v>0</v>
      </c>
      <c r="L21" s="17">
        <f>Test!B123</f>
        <v>0</v>
      </c>
      <c r="M21" s="18">
        <f>Test!C123</f>
        <v>0</v>
      </c>
      <c r="N21" s="18">
        <f>Test!D123</f>
        <v>0</v>
      </c>
      <c r="O21" s="18">
        <f>Test!E123</f>
        <v>0</v>
      </c>
      <c r="P21" s="18">
        <f>Test!F123</f>
        <v>0</v>
      </c>
      <c r="Q21" s="18">
        <f>Test!G123</f>
        <v>0</v>
      </c>
      <c r="R21" s="19">
        <f t="shared" si="1"/>
        <v>0</v>
      </c>
      <c r="S21" s="18" t="e">
        <f t="shared" si="3"/>
        <v>#DIV/0!</v>
      </c>
      <c r="T21" s="18" t="e">
        <f t="shared" si="4"/>
        <v>#DIV/0!</v>
      </c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>
        <f>Reference!B124</f>
        <v>0</v>
      </c>
      <c r="E22" s="23">
        <f>Reference!C124</f>
        <v>0</v>
      </c>
      <c r="F22" s="23">
        <f>Reference!D124</f>
        <v>0</v>
      </c>
      <c r="G22" s="23">
        <f>Reference!E124</f>
        <v>0</v>
      </c>
      <c r="H22" s="23">
        <f>Reference!F124</f>
        <v>0</v>
      </c>
      <c r="I22" s="23">
        <f>Reference!G124</f>
        <v>0</v>
      </c>
      <c r="J22" s="24">
        <f t="shared" si="0"/>
        <v>0</v>
      </c>
      <c r="L22" s="22">
        <f>Test!B124</f>
        <v>0</v>
      </c>
      <c r="M22" s="23">
        <f>Test!C124</f>
        <v>0</v>
      </c>
      <c r="N22" s="23">
        <f>Test!D124</f>
        <v>0</v>
      </c>
      <c r="O22" s="23">
        <f>Test!E124</f>
        <v>0</v>
      </c>
      <c r="P22" s="23">
        <f>Test!F124</f>
        <v>0</v>
      </c>
      <c r="Q22" s="23">
        <f>Test!G124</f>
        <v>0</v>
      </c>
      <c r="R22" s="24">
        <f t="shared" si="1"/>
        <v>0</v>
      </c>
      <c r="S22" s="18" t="e">
        <f t="shared" si="3"/>
        <v>#DIV/0!</v>
      </c>
      <c r="T22" s="18" t="e">
        <f t="shared" si="4"/>
        <v>#DIV/0!</v>
      </c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>
        <f>Reference!B125</f>
        <v>0</v>
      </c>
      <c r="E23" s="13">
        <f>Reference!C125</f>
        <v>0</v>
      </c>
      <c r="F23" s="13">
        <f>Reference!D125</f>
        <v>0</v>
      </c>
      <c r="G23" s="13">
        <f>Reference!E125</f>
        <v>0</v>
      </c>
      <c r="H23" s="13">
        <f>Reference!F125</f>
        <v>0</v>
      </c>
      <c r="I23" s="13">
        <f>Reference!G125</f>
        <v>0</v>
      </c>
      <c r="J23" s="14">
        <f t="shared" si="0"/>
        <v>0</v>
      </c>
      <c r="L23" s="12">
        <f>Test!B125</f>
        <v>0</v>
      </c>
      <c r="M23" s="13">
        <f>Test!C125</f>
        <v>0</v>
      </c>
      <c r="N23" s="13">
        <f>Test!D125</f>
        <v>0</v>
      </c>
      <c r="O23" s="13">
        <f>Test!E125</f>
        <v>0</v>
      </c>
      <c r="P23" s="13">
        <f>Test!F125</f>
        <v>0</v>
      </c>
      <c r="Q23" s="13">
        <f>Test!G125</f>
        <v>0</v>
      </c>
      <c r="R23" s="14">
        <f t="shared" si="1"/>
        <v>0</v>
      </c>
      <c r="S23" s="18" t="e">
        <f t="shared" si="3"/>
        <v>#DIV/0!</v>
      </c>
      <c r="T23" s="18" t="e">
        <f t="shared" si="4"/>
        <v>#DIV/0!</v>
      </c>
      <c r="U23" s="59"/>
      <c r="V23" s="41" t="e">
        <f>bdrate($D23:$D26,E23:E26,$L23:$L26,M23:M26)</f>
        <v>#VALUE!</v>
      </c>
      <c r="W23" s="46" t="e">
        <f>bdrate($D23:$D26,F23:F26,$L23:$L26,N23:N26)</f>
        <v>#VALUE!</v>
      </c>
      <c r="X23" s="46" t="e">
        <f>bdrate($D23:$D26,G23:G26,$L23:$L26,O23:O26)</f>
        <v>#VALUE!</v>
      </c>
      <c r="Y23" s="44" t="e">
        <f>bdrateOld($D23:$D26,E23:E26,$L23:$L26,M23:M26)</f>
        <v>#VALUE!</v>
      </c>
      <c r="Z23" s="48" t="e">
        <f>bdrateOld($D23:$D26,F23:F26,$L23:$L26,N23:N26)</f>
        <v>#VALUE!</v>
      </c>
      <c r="AA23" s="49" t="e">
        <f>bdrateOld($D23:$D26,G23:G26,$L23:$L26,O23:O26)</f>
        <v>#VALUE!</v>
      </c>
    </row>
    <row r="24" spans="1:27" x14ac:dyDescent="0.2">
      <c r="A24" s="35"/>
      <c r="B24" s="16"/>
      <c r="C24" s="35">
        <v>27</v>
      </c>
      <c r="D24" s="17">
        <f>Reference!B126</f>
        <v>0</v>
      </c>
      <c r="E24" s="18">
        <f>Reference!C126</f>
        <v>0</v>
      </c>
      <c r="F24" s="18">
        <f>Reference!D126</f>
        <v>0</v>
      </c>
      <c r="G24" s="18">
        <f>Reference!E126</f>
        <v>0</v>
      </c>
      <c r="H24" s="18">
        <f>Reference!F126</f>
        <v>0</v>
      </c>
      <c r="I24" s="18">
        <f>Reference!G126</f>
        <v>0</v>
      </c>
      <c r="J24" s="19">
        <f t="shared" si="0"/>
        <v>0</v>
      </c>
      <c r="L24" s="17">
        <f>Test!B126</f>
        <v>0</v>
      </c>
      <c r="M24" s="18">
        <f>Test!C126</f>
        <v>0</v>
      </c>
      <c r="N24" s="18">
        <f>Test!D126</f>
        <v>0</v>
      </c>
      <c r="O24" s="18">
        <f>Test!E126</f>
        <v>0</v>
      </c>
      <c r="P24" s="18">
        <f>Test!F126</f>
        <v>0</v>
      </c>
      <c r="Q24" s="18">
        <f>Test!G126</f>
        <v>0</v>
      </c>
      <c r="R24" s="19">
        <f t="shared" si="1"/>
        <v>0</v>
      </c>
      <c r="S24" s="18" t="e">
        <f t="shared" si="3"/>
        <v>#DIV/0!</v>
      </c>
      <c r="T24" s="18" t="e">
        <f t="shared" si="4"/>
        <v>#DIV/0!</v>
      </c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>
        <f>Reference!B127</f>
        <v>0</v>
      </c>
      <c r="E25" s="18">
        <f>Reference!C127</f>
        <v>0</v>
      </c>
      <c r="F25" s="18">
        <f>Reference!D127</f>
        <v>0</v>
      </c>
      <c r="G25" s="18">
        <f>Reference!E127</f>
        <v>0</v>
      </c>
      <c r="H25" s="18">
        <f>Reference!F127</f>
        <v>0</v>
      </c>
      <c r="I25" s="18">
        <f>Reference!G127</f>
        <v>0</v>
      </c>
      <c r="J25" s="19">
        <f t="shared" si="0"/>
        <v>0</v>
      </c>
      <c r="L25" s="17">
        <f>Test!B127</f>
        <v>0</v>
      </c>
      <c r="M25" s="18">
        <f>Test!C127</f>
        <v>0</v>
      </c>
      <c r="N25" s="18">
        <f>Test!D127</f>
        <v>0</v>
      </c>
      <c r="O25" s="18">
        <f>Test!E127</f>
        <v>0</v>
      </c>
      <c r="P25" s="18">
        <f>Test!F127</f>
        <v>0</v>
      </c>
      <c r="Q25" s="18">
        <f>Test!G127</f>
        <v>0</v>
      </c>
      <c r="R25" s="19">
        <f t="shared" si="1"/>
        <v>0</v>
      </c>
      <c r="S25" s="18" t="e">
        <f t="shared" si="3"/>
        <v>#DIV/0!</v>
      </c>
      <c r="T25" s="18" t="e">
        <f t="shared" si="4"/>
        <v>#DIV/0!</v>
      </c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>
        <f>Reference!B128</f>
        <v>0</v>
      </c>
      <c r="E26" s="23">
        <f>Reference!C128</f>
        <v>0</v>
      </c>
      <c r="F26" s="23">
        <f>Reference!D128</f>
        <v>0</v>
      </c>
      <c r="G26" s="23">
        <f>Reference!E128</f>
        <v>0</v>
      </c>
      <c r="H26" s="23">
        <f>Reference!F128</f>
        <v>0</v>
      </c>
      <c r="I26" s="23">
        <f>Reference!G128</f>
        <v>0</v>
      </c>
      <c r="J26" s="24">
        <f t="shared" si="0"/>
        <v>0</v>
      </c>
      <c r="L26" s="22">
        <f>Test!B128</f>
        <v>0</v>
      </c>
      <c r="M26" s="23">
        <f>Test!C128</f>
        <v>0</v>
      </c>
      <c r="N26" s="23">
        <f>Test!D128</f>
        <v>0</v>
      </c>
      <c r="O26" s="23">
        <f>Test!E128</f>
        <v>0</v>
      </c>
      <c r="P26" s="23">
        <f>Test!F128</f>
        <v>0</v>
      </c>
      <c r="Q26" s="23">
        <f>Test!G128</f>
        <v>0</v>
      </c>
      <c r="R26" s="24">
        <f t="shared" si="1"/>
        <v>0</v>
      </c>
      <c r="S26" s="18" t="e">
        <f t="shared" si="3"/>
        <v>#DIV/0!</v>
      </c>
      <c r="T26" s="18" t="e">
        <f t="shared" si="4"/>
        <v>#DIV/0!</v>
      </c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Reference!B129</f>
        <v>0</v>
      </c>
      <c r="E27" s="13">
        <f>Reference!C129</f>
        <v>0</v>
      </c>
      <c r="F27" s="13">
        <f>Reference!D129</f>
        <v>0</v>
      </c>
      <c r="G27" s="13">
        <f>Reference!E129</f>
        <v>0</v>
      </c>
      <c r="H27" s="13">
        <f>Reference!F129</f>
        <v>0</v>
      </c>
      <c r="I27" s="13">
        <f>Reference!G129</f>
        <v>0</v>
      </c>
      <c r="J27" s="14">
        <f t="shared" si="0"/>
        <v>0</v>
      </c>
      <c r="L27" s="12">
        <f>Test!B129</f>
        <v>0</v>
      </c>
      <c r="M27" s="13">
        <f>Test!C129</f>
        <v>0</v>
      </c>
      <c r="N27" s="13">
        <f>Test!D129</f>
        <v>0</v>
      </c>
      <c r="O27" s="13">
        <f>Test!E129</f>
        <v>0</v>
      </c>
      <c r="P27" s="13">
        <f>Test!F129</f>
        <v>0</v>
      </c>
      <c r="Q27" s="13">
        <f>Test!G129</f>
        <v>0</v>
      </c>
      <c r="R27" s="14">
        <f t="shared" si="1"/>
        <v>0</v>
      </c>
      <c r="S27" s="13" t="e">
        <f t="shared" si="2"/>
        <v>#DIV/0!</v>
      </c>
      <c r="T27" s="13" t="e">
        <f t="shared" si="2"/>
        <v>#DIV/0!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 x14ac:dyDescent="0.2">
      <c r="A28" s="16" t="s">
        <v>45</v>
      </c>
      <c r="B28" s="16"/>
      <c r="C28" s="16">
        <v>27</v>
      </c>
      <c r="D28" s="17">
        <f>Reference!B130</f>
        <v>0</v>
      </c>
      <c r="E28" s="18">
        <f>Reference!C130</f>
        <v>0</v>
      </c>
      <c r="F28" s="18">
        <f>Reference!D130</f>
        <v>0</v>
      </c>
      <c r="G28" s="18">
        <f>Reference!E130</f>
        <v>0</v>
      </c>
      <c r="H28" s="18">
        <f>Reference!F130</f>
        <v>0</v>
      </c>
      <c r="I28" s="18">
        <f>Reference!G130</f>
        <v>0</v>
      </c>
      <c r="J28" s="19">
        <f t="shared" si="0"/>
        <v>0</v>
      </c>
      <c r="L28" s="17">
        <f>Test!B130</f>
        <v>0</v>
      </c>
      <c r="M28" s="18">
        <f>Test!C130</f>
        <v>0</v>
      </c>
      <c r="N28" s="18">
        <f>Test!D130</f>
        <v>0</v>
      </c>
      <c r="O28" s="18">
        <f>Test!E130</f>
        <v>0</v>
      </c>
      <c r="P28" s="18">
        <f>Test!F130</f>
        <v>0</v>
      </c>
      <c r="Q28" s="18">
        <f>Test!G130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Reference!B131</f>
        <v>0</v>
      </c>
      <c r="E29" s="18">
        <f>Reference!C131</f>
        <v>0</v>
      </c>
      <c r="F29" s="18">
        <f>Reference!D131</f>
        <v>0</v>
      </c>
      <c r="G29" s="18">
        <f>Reference!E131</f>
        <v>0</v>
      </c>
      <c r="H29" s="18">
        <f>Reference!F131</f>
        <v>0</v>
      </c>
      <c r="I29" s="18">
        <f>Reference!G131</f>
        <v>0</v>
      </c>
      <c r="J29" s="19">
        <f t="shared" si="0"/>
        <v>0</v>
      </c>
      <c r="L29" s="17">
        <f>Test!B131</f>
        <v>0</v>
      </c>
      <c r="M29" s="18">
        <f>Test!C131</f>
        <v>0</v>
      </c>
      <c r="N29" s="18">
        <f>Test!D131</f>
        <v>0</v>
      </c>
      <c r="O29" s="18">
        <f>Test!E131</f>
        <v>0</v>
      </c>
      <c r="P29" s="18">
        <f>Test!F131</f>
        <v>0</v>
      </c>
      <c r="Q29" s="18">
        <f>Test!G131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Reference!B132</f>
        <v>0</v>
      </c>
      <c r="E30" s="23">
        <f>Reference!C132</f>
        <v>0</v>
      </c>
      <c r="F30" s="23">
        <f>Reference!D132</f>
        <v>0</v>
      </c>
      <c r="G30" s="23">
        <f>Reference!E132</f>
        <v>0</v>
      </c>
      <c r="H30" s="23">
        <f>Reference!F132</f>
        <v>0</v>
      </c>
      <c r="I30" s="23">
        <f>Reference!G132</f>
        <v>0</v>
      </c>
      <c r="J30" s="24">
        <f t="shared" si="0"/>
        <v>0</v>
      </c>
      <c r="L30" s="22">
        <f>Test!B132</f>
        <v>0</v>
      </c>
      <c r="M30" s="23">
        <f>Test!C132</f>
        <v>0</v>
      </c>
      <c r="N30" s="23">
        <f>Test!D132</f>
        <v>0</v>
      </c>
      <c r="O30" s="23">
        <f>Test!E132</f>
        <v>0</v>
      </c>
      <c r="P30" s="23">
        <f>Test!F132</f>
        <v>0</v>
      </c>
      <c r="Q30" s="23">
        <f>Test!G132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Reference!B133</f>
        <v>0</v>
      </c>
      <c r="E31" s="13">
        <f>Reference!C133</f>
        <v>0</v>
      </c>
      <c r="F31" s="13">
        <f>Reference!D133</f>
        <v>0</v>
      </c>
      <c r="G31" s="13">
        <f>Reference!E133</f>
        <v>0</v>
      </c>
      <c r="H31" s="13">
        <f>Reference!F133</f>
        <v>0</v>
      </c>
      <c r="I31" s="13">
        <f>Reference!G133</f>
        <v>0</v>
      </c>
      <c r="J31" s="14">
        <f t="shared" si="0"/>
        <v>0</v>
      </c>
      <c r="K31" s="26"/>
      <c r="L31" s="12">
        <f>Test!B133</f>
        <v>0</v>
      </c>
      <c r="M31" s="13">
        <f>Test!C133</f>
        <v>0</v>
      </c>
      <c r="N31" s="13">
        <f>Test!D133</f>
        <v>0</v>
      </c>
      <c r="O31" s="13">
        <f>Test!E133</f>
        <v>0</v>
      </c>
      <c r="P31" s="13">
        <f>Test!F133</f>
        <v>0</v>
      </c>
      <c r="Q31" s="13">
        <f>Test!G133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 x14ac:dyDescent="0.2">
      <c r="A32" s="16"/>
      <c r="B32" s="16"/>
      <c r="C32" s="16">
        <v>27</v>
      </c>
      <c r="D32" s="17">
        <f>Reference!B134</f>
        <v>0</v>
      </c>
      <c r="E32" s="18">
        <f>Reference!C134</f>
        <v>0</v>
      </c>
      <c r="F32" s="18">
        <f>Reference!D134</f>
        <v>0</v>
      </c>
      <c r="G32" s="18">
        <f>Reference!E134</f>
        <v>0</v>
      </c>
      <c r="H32" s="18">
        <f>Reference!F134</f>
        <v>0</v>
      </c>
      <c r="I32" s="18">
        <f>Reference!G134</f>
        <v>0</v>
      </c>
      <c r="J32" s="19">
        <f t="shared" si="0"/>
        <v>0</v>
      </c>
      <c r="K32" s="26"/>
      <c r="L32" s="17">
        <f>Test!B134</f>
        <v>0</v>
      </c>
      <c r="M32" s="18">
        <f>Test!C134</f>
        <v>0</v>
      </c>
      <c r="N32" s="18">
        <f>Test!D134</f>
        <v>0</v>
      </c>
      <c r="O32" s="18">
        <f>Test!E134</f>
        <v>0</v>
      </c>
      <c r="P32" s="18">
        <f>Test!F134</f>
        <v>0</v>
      </c>
      <c r="Q32" s="18">
        <f>Test!G134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Reference!B135</f>
        <v>0</v>
      </c>
      <c r="E33" s="18">
        <f>Reference!C135</f>
        <v>0</v>
      </c>
      <c r="F33" s="18">
        <f>Reference!D135</f>
        <v>0</v>
      </c>
      <c r="G33" s="18">
        <f>Reference!E135</f>
        <v>0</v>
      </c>
      <c r="H33" s="18">
        <f>Reference!F135</f>
        <v>0</v>
      </c>
      <c r="I33" s="18">
        <f>Reference!G135</f>
        <v>0</v>
      </c>
      <c r="J33" s="19">
        <f t="shared" si="0"/>
        <v>0</v>
      </c>
      <c r="K33" s="26"/>
      <c r="L33" s="17">
        <f>Test!B135</f>
        <v>0</v>
      </c>
      <c r="M33" s="18">
        <f>Test!C135</f>
        <v>0</v>
      </c>
      <c r="N33" s="18">
        <f>Test!D135</f>
        <v>0</v>
      </c>
      <c r="O33" s="18">
        <f>Test!E135</f>
        <v>0</v>
      </c>
      <c r="P33" s="18">
        <f>Test!F135</f>
        <v>0</v>
      </c>
      <c r="Q33" s="18">
        <f>Test!G135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Reference!B136</f>
        <v>0</v>
      </c>
      <c r="E34" s="23">
        <f>Reference!C136</f>
        <v>0</v>
      </c>
      <c r="F34" s="23">
        <f>Reference!D136</f>
        <v>0</v>
      </c>
      <c r="G34" s="23">
        <f>Reference!E136</f>
        <v>0</v>
      </c>
      <c r="H34" s="23">
        <f>Reference!F136</f>
        <v>0</v>
      </c>
      <c r="I34" s="23">
        <f>Reference!G136</f>
        <v>0</v>
      </c>
      <c r="J34" s="24">
        <f t="shared" si="0"/>
        <v>0</v>
      </c>
      <c r="K34" s="26"/>
      <c r="L34" s="22">
        <f>Test!B136</f>
        <v>0</v>
      </c>
      <c r="M34" s="23">
        <f>Test!C136</f>
        <v>0</v>
      </c>
      <c r="N34" s="23">
        <f>Test!D136</f>
        <v>0</v>
      </c>
      <c r="O34" s="23">
        <f>Test!E136</f>
        <v>0</v>
      </c>
      <c r="P34" s="23">
        <f>Test!F136</f>
        <v>0</v>
      </c>
      <c r="Q34" s="23">
        <f>Test!G136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Reference!B137</f>
        <v>18803.850399999999</v>
      </c>
      <c r="E35" s="13">
        <f>Reference!C137</f>
        <v>38.482199999999999</v>
      </c>
      <c r="F35" s="13">
        <f>Reference!D137</f>
        <v>40.033200000000001</v>
      </c>
      <c r="G35" s="13">
        <f>Reference!E137</f>
        <v>43.617400000000004</v>
      </c>
      <c r="H35" s="13">
        <f>Reference!F137</f>
        <v>19285.897000000001</v>
      </c>
      <c r="I35" s="13">
        <f>Reference!G137</f>
        <v>0</v>
      </c>
      <c r="J35" s="14">
        <f t="shared" si="0"/>
        <v>5.3571936111111116</v>
      </c>
      <c r="L35" s="12">
        <f>Test!B137</f>
        <v>0</v>
      </c>
      <c r="M35" s="13">
        <f>Test!C137</f>
        <v>0</v>
      </c>
      <c r="N35" s="13">
        <f>Test!D137</f>
        <v>0</v>
      </c>
      <c r="O35" s="13">
        <f>Test!E137</f>
        <v>0</v>
      </c>
      <c r="P35" s="13">
        <f>Test!F137</f>
        <v>0</v>
      </c>
      <c r="Q35" s="13">
        <f>Test!G137</f>
        <v>0</v>
      </c>
      <c r="R35" s="14">
        <f t="shared" si="1"/>
        <v>0</v>
      </c>
      <c r="S35" s="18">
        <f t="shared" si="2"/>
        <v>0</v>
      </c>
      <c r="T35" s="18" t="e">
        <f t="shared" si="2"/>
        <v>#DIV/0!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 x14ac:dyDescent="0.2">
      <c r="A36" s="16"/>
      <c r="B36" s="16"/>
      <c r="C36" s="16">
        <v>27</v>
      </c>
      <c r="D36" s="17">
        <f>Reference!B138</f>
        <v>5754.2592000000004</v>
      </c>
      <c r="E36" s="18">
        <f>Reference!C138</f>
        <v>36.854100000000003</v>
      </c>
      <c r="F36" s="18">
        <f>Reference!D138</f>
        <v>39.076599999999999</v>
      </c>
      <c r="G36" s="18">
        <f>Reference!E138</f>
        <v>41.897199999999998</v>
      </c>
      <c r="H36" s="18">
        <f>Reference!F138</f>
        <v>14628.847</v>
      </c>
      <c r="I36" s="18">
        <f>Reference!G138</f>
        <v>0</v>
      </c>
      <c r="J36" s="19">
        <f t="shared" si="0"/>
        <v>4.0635686111111111</v>
      </c>
      <c r="L36" s="17">
        <f>Test!B138</f>
        <v>0</v>
      </c>
      <c r="M36" s="18">
        <f>Test!C138</f>
        <v>0</v>
      </c>
      <c r="N36" s="18">
        <f>Test!D138</f>
        <v>0</v>
      </c>
      <c r="O36" s="18">
        <f>Test!E138</f>
        <v>0</v>
      </c>
      <c r="P36" s="18">
        <f>Test!F138</f>
        <v>0</v>
      </c>
      <c r="Q36" s="18">
        <f>Test!G138</f>
        <v>0</v>
      </c>
      <c r="R36" s="19">
        <f t="shared" si="1"/>
        <v>0</v>
      </c>
      <c r="S36" s="18">
        <f t="shared" si="2"/>
        <v>0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Reference!B139</f>
        <v>2673.7208000000001</v>
      </c>
      <c r="E37" s="18">
        <f>Reference!C139</f>
        <v>34.949199999999998</v>
      </c>
      <c r="F37" s="18">
        <f>Reference!D139</f>
        <v>38.2376</v>
      </c>
      <c r="G37" s="18">
        <f>Reference!E139</f>
        <v>40.338200000000001</v>
      </c>
      <c r="H37" s="18">
        <f>Reference!F139</f>
        <v>12893.194</v>
      </c>
      <c r="I37" s="18">
        <f>Reference!G139</f>
        <v>0</v>
      </c>
      <c r="J37" s="19">
        <f t="shared" si="0"/>
        <v>3.5814427777777778</v>
      </c>
      <c r="L37" s="17">
        <f>Test!B139</f>
        <v>0</v>
      </c>
      <c r="M37" s="18">
        <f>Test!C139</f>
        <v>0</v>
      </c>
      <c r="N37" s="18">
        <f>Test!D139</f>
        <v>0</v>
      </c>
      <c r="O37" s="18">
        <f>Test!E139</f>
        <v>0</v>
      </c>
      <c r="P37" s="18">
        <f>Test!F139</f>
        <v>0</v>
      </c>
      <c r="Q37" s="18">
        <f>Test!G139</f>
        <v>0</v>
      </c>
      <c r="R37" s="19">
        <f t="shared" si="1"/>
        <v>0</v>
      </c>
      <c r="S37" s="18">
        <f t="shared" si="2"/>
        <v>0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Reference!B140</f>
        <v>1370.4168</v>
      </c>
      <c r="E38" s="23">
        <f>Reference!C140</f>
        <v>32.769300000000001</v>
      </c>
      <c r="F38" s="23">
        <f>Reference!D140</f>
        <v>37.543999999999997</v>
      </c>
      <c r="G38" s="23">
        <f>Reference!E140</f>
        <v>39.170400000000001</v>
      </c>
      <c r="H38" s="23">
        <f>Reference!F140</f>
        <v>11959.481</v>
      </c>
      <c r="I38" s="23">
        <f>Reference!G140</f>
        <v>0</v>
      </c>
      <c r="J38" s="24">
        <f t="shared" si="0"/>
        <v>3.3220780555555556</v>
      </c>
      <c r="L38" s="22">
        <f>Test!B140</f>
        <v>0</v>
      </c>
      <c r="M38" s="23">
        <f>Test!C140</f>
        <v>0</v>
      </c>
      <c r="N38" s="23">
        <f>Test!D140</f>
        <v>0</v>
      </c>
      <c r="O38" s="23">
        <f>Test!E140</f>
        <v>0</v>
      </c>
      <c r="P38" s="23">
        <f>Test!F140</f>
        <v>0</v>
      </c>
      <c r="Q38" s="23">
        <f>Test!G140</f>
        <v>0</v>
      </c>
      <c r="R38" s="24">
        <f t="shared" si="1"/>
        <v>0</v>
      </c>
      <c r="S38" s="18">
        <f t="shared" si="2"/>
        <v>0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Reference!B141</f>
        <v>17488.292799999999</v>
      </c>
      <c r="E39" s="13">
        <f>Reference!C141</f>
        <v>39.155999999999999</v>
      </c>
      <c r="F39" s="13">
        <f>Reference!D141</f>
        <v>43.775100000000002</v>
      </c>
      <c r="G39" s="13">
        <f>Reference!E141</f>
        <v>44.982100000000003</v>
      </c>
      <c r="H39" s="13">
        <f>Reference!F141</f>
        <v>21147.08</v>
      </c>
      <c r="I39" s="13">
        <f>Reference!G141</f>
        <v>0</v>
      </c>
      <c r="J39" s="14">
        <f t="shared" si="0"/>
        <v>5.8741888888888898</v>
      </c>
      <c r="L39" s="12">
        <f>Test!B141</f>
        <v>0</v>
      </c>
      <c r="M39" s="13">
        <f>Test!C141</f>
        <v>0</v>
      </c>
      <c r="N39" s="13">
        <f>Test!D141</f>
        <v>0</v>
      </c>
      <c r="O39" s="13">
        <f>Test!E141</f>
        <v>0</v>
      </c>
      <c r="P39" s="13">
        <f>Test!F141</f>
        <v>0</v>
      </c>
      <c r="Q39" s="13">
        <f>Test!G141</f>
        <v>0</v>
      </c>
      <c r="R39" s="14">
        <f t="shared" si="1"/>
        <v>0</v>
      </c>
      <c r="S39" s="18">
        <f t="shared" si="2"/>
        <v>0</v>
      </c>
      <c r="T39" s="18" t="e">
        <f t="shared" si="2"/>
        <v>#DIV/0!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 x14ac:dyDescent="0.2">
      <c r="A40" s="16"/>
      <c r="B40" s="16"/>
      <c r="C40" s="16">
        <v>27</v>
      </c>
      <c r="D40" s="17">
        <f>Reference!B142</f>
        <v>6024.4528</v>
      </c>
      <c r="E40" s="18">
        <f>Reference!C142</f>
        <v>37.475499999999997</v>
      </c>
      <c r="F40" s="18">
        <f>Reference!D142</f>
        <v>42.5214</v>
      </c>
      <c r="G40" s="18">
        <f>Reference!E142</f>
        <v>43.028599999999997</v>
      </c>
      <c r="H40" s="18">
        <f>Reference!F142</f>
        <v>17051.514999999999</v>
      </c>
      <c r="I40" s="18">
        <f>Reference!G142</f>
        <v>0</v>
      </c>
      <c r="J40" s="19">
        <f t="shared" si="0"/>
        <v>4.7365319444444447</v>
      </c>
      <c r="L40" s="17">
        <f>Test!B142</f>
        <v>0</v>
      </c>
      <c r="M40" s="18">
        <f>Test!C142</f>
        <v>0</v>
      </c>
      <c r="N40" s="18">
        <f>Test!D142</f>
        <v>0</v>
      </c>
      <c r="O40" s="18">
        <f>Test!E142</f>
        <v>0</v>
      </c>
      <c r="P40" s="18">
        <f>Test!F142</f>
        <v>0</v>
      </c>
      <c r="Q40" s="18">
        <f>Test!G142</f>
        <v>0</v>
      </c>
      <c r="R40" s="19">
        <f t="shared" si="1"/>
        <v>0</v>
      </c>
      <c r="S40" s="18">
        <f t="shared" si="2"/>
        <v>0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Reference!B143</f>
        <v>2809.5864000000001</v>
      </c>
      <c r="E41" s="18">
        <f>Reference!C143</f>
        <v>35.626800000000003</v>
      </c>
      <c r="F41" s="18">
        <f>Reference!D143</f>
        <v>41.2714</v>
      </c>
      <c r="G41" s="18">
        <f>Reference!E143</f>
        <v>41.186700000000002</v>
      </c>
      <c r="H41" s="18">
        <f>Reference!F143</f>
        <v>15002.86</v>
      </c>
      <c r="I41" s="18">
        <f>Reference!G143</f>
        <v>0</v>
      </c>
      <c r="J41" s="19">
        <f t="shared" si="0"/>
        <v>4.1674611111111108</v>
      </c>
      <c r="L41" s="17">
        <f>Test!B143</f>
        <v>0</v>
      </c>
      <c r="M41" s="18">
        <f>Test!C143</f>
        <v>0</v>
      </c>
      <c r="N41" s="18">
        <f>Test!D143</f>
        <v>0</v>
      </c>
      <c r="O41" s="18">
        <f>Test!E143</f>
        <v>0</v>
      </c>
      <c r="P41" s="18">
        <f>Test!F143</f>
        <v>0</v>
      </c>
      <c r="Q41" s="18">
        <f>Test!G143</f>
        <v>0</v>
      </c>
      <c r="R41" s="19">
        <f t="shared" si="1"/>
        <v>0</v>
      </c>
      <c r="S41" s="18">
        <f t="shared" si="2"/>
        <v>0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Reference!B144</f>
        <v>1475.8232</v>
      </c>
      <c r="E42" s="23">
        <f>Reference!C144</f>
        <v>33.6404</v>
      </c>
      <c r="F42" s="23">
        <f>Reference!D144</f>
        <v>40.328000000000003</v>
      </c>
      <c r="G42" s="23">
        <f>Reference!E144</f>
        <v>39.912700000000001</v>
      </c>
      <c r="H42" s="23">
        <f>Reference!F144</f>
        <v>13818.416999999999</v>
      </c>
      <c r="I42" s="23">
        <f>Reference!G144</f>
        <v>0</v>
      </c>
      <c r="J42" s="24">
        <f t="shared" si="0"/>
        <v>3.8384491666666665</v>
      </c>
      <c r="L42" s="22">
        <f>Test!B144</f>
        <v>0</v>
      </c>
      <c r="M42" s="23">
        <f>Test!C144</f>
        <v>0</v>
      </c>
      <c r="N42" s="23">
        <f>Test!D144</f>
        <v>0</v>
      </c>
      <c r="O42" s="23">
        <f>Test!E144</f>
        <v>0</v>
      </c>
      <c r="P42" s="23">
        <f>Test!F144</f>
        <v>0</v>
      </c>
      <c r="Q42" s="23">
        <f>Test!G144</f>
        <v>0</v>
      </c>
      <c r="R42" s="24">
        <f t="shared" si="1"/>
        <v>0</v>
      </c>
      <c r="S42" s="18">
        <f t="shared" si="2"/>
        <v>0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Reference!B145</f>
        <v>40614.592799999999</v>
      </c>
      <c r="E43" s="13">
        <f>Reference!C145</f>
        <v>37.435400000000001</v>
      </c>
      <c r="F43" s="13">
        <f>Reference!D145</f>
        <v>42.136899999999997</v>
      </c>
      <c r="G43" s="13">
        <f>Reference!E145</f>
        <v>44.306800000000003</v>
      </c>
      <c r="H43" s="13">
        <f>Reference!F145</f>
        <v>27277.322</v>
      </c>
      <c r="I43" s="13">
        <f>Reference!G145</f>
        <v>0</v>
      </c>
      <c r="J43" s="14">
        <f t="shared" si="0"/>
        <v>7.5770338888888888</v>
      </c>
      <c r="L43" s="12">
        <f>Test!B145</f>
        <v>0</v>
      </c>
      <c r="M43" s="13">
        <f>Test!C145</f>
        <v>0</v>
      </c>
      <c r="N43" s="13">
        <f>Test!D145</f>
        <v>0</v>
      </c>
      <c r="O43" s="13">
        <f>Test!E145</f>
        <v>0</v>
      </c>
      <c r="P43" s="13">
        <f>Test!F145</f>
        <v>0</v>
      </c>
      <c r="Q43" s="13">
        <f>Test!G145</f>
        <v>0</v>
      </c>
      <c r="R43" s="14">
        <f t="shared" si="1"/>
        <v>0</v>
      </c>
      <c r="S43" s="18">
        <f t="shared" si="2"/>
        <v>0</v>
      </c>
      <c r="T43" s="18" t="e">
        <f t="shared" si="2"/>
        <v>#DIV/0!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 x14ac:dyDescent="0.2">
      <c r="A44" s="16"/>
      <c r="B44" s="16"/>
      <c r="C44" s="16">
        <v>27</v>
      </c>
      <c r="D44" s="17">
        <f>Reference!B146</f>
        <v>7511.4912000000004</v>
      </c>
      <c r="E44" s="18">
        <f>Reference!C146</f>
        <v>35.311199999999999</v>
      </c>
      <c r="F44" s="18">
        <f>Reference!D146</f>
        <v>40.841999999999999</v>
      </c>
      <c r="G44" s="18">
        <f>Reference!E146</f>
        <v>43.163699999999999</v>
      </c>
      <c r="H44" s="18">
        <f>Reference!F146</f>
        <v>17449.516</v>
      </c>
      <c r="I44" s="18">
        <f>Reference!G146</f>
        <v>0</v>
      </c>
      <c r="J44" s="19">
        <f t="shared" si="0"/>
        <v>4.8470877777777774</v>
      </c>
      <c r="L44" s="17">
        <f>Test!B146</f>
        <v>0</v>
      </c>
      <c r="M44" s="18">
        <f>Test!C146</f>
        <v>0</v>
      </c>
      <c r="N44" s="18">
        <f>Test!D146</f>
        <v>0</v>
      </c>
      <c r="O44" s="18">
        <f>Test!E146</f>
        <v>0</v>
      </c>
      <c r="P44" s="18">
        <f>Test!F146</f>
        <v>0</v>
      </c>
      <c r="Q44" s="18">
        <f>Test!G146</f>
        <v>0</v>
      </c>
      <c r="R44" s="19">
        <f t="shared" si="1"/>
        <v>0</v>
      </c>
      <c r="S44" s="18">
        <f t="shared" si="2"/>
        <v>0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Reference!B147</f>
        <v>2276.7408</v>
      </c>
      <c r="E45" s="18">
        <f>Reference!C147</f>
        <v>33.860300000000002</v>
      </c>
      <c r="F45" s="18">
        <f>Reference!D147</f>
        <v>39.613399999999999</v>
      </c>
      <c r="G45" s="18">
        <f>Reference!E147</f>
        <v>42.105600000000003</v>
      </c>
      <c r="H45" s="18">
        <f>Reference!F147</f>
        <v>14821.771000000001</v>
      </c>
      <c r="I45" s="18">
        <f>Reference!G147</f>
        <v>0</v>
      </c>
      <c r="J45" s="19">
        <f t="shared" si="0"/>
        <v>4.1171586111111109</v>
      </c>
      <c r="L45" s="17">
        <f>Test!B147</f>
        <v>0</v>
      </c>
      <c r="M45" s="18">
        <f>Test!C147</f>
        <v>0</v>
      </c>
      <c r="N45" s="18">
        <f>Test!D147</f>
        <v>0</v>
      </c>
      <c r="O45" s="18">
        <f>Test!E147</f>
        <v>0</v>
      </c>
      <c r="P45" s="18">
        <f>Test!F147</f>
        <v>0</v>
      </c>
      <c r="Q45" s="18">
        <f>Test!G147</f>
        <v>0</v>
      </c>
      <c r="R45" s="19">
        <f t="shared" si="1"/>
        <v>0</v>
      </c>
      <c r="S45" s="18">
        <f t="shared" si="2"/>
        <v>0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Reference!B148</f>
        <v>973.21360000000004</v>
      </c>
      <c r="E46" s="23">
        <f>Reference!C148</f>
        <v>31.981400000000001</v>
      </c>
      <c r="F46" s="23">
        <f>Reference!D148</f>
        <v>38.688800000000001</v>
      </c>
      <c r="G46" s="23">
        <f>Reference!E148</f>
        <v>41.287700000000001</v>
      </c>
      <c r="H46" s="23">
        <f>Reference!F148</f>
        <v>13796.082</v>
      </c>
      <c r="I46" s="23">
        <f>Reference!G148</f>
        <v>0</v>
      </c>
      <c r="J46" s="24">
        <f t="shared" si="0"/>
        <v>3.8322449999999999</v>
      </c>
      <c r="L46" s="22">
        <f>Test!B148</f>
        <v>0</v>
      </c>
      <c r="M46" s="23">
        <f>Test!C148</f>
        <v>0</v>
      </c>
      <c r="N46" s="23">
        <f>Test!D148</f>
        <v>0</v>
      </c>
      <c r="O46" s="23">
        <f>Test!E148</f>
        <v>0</v>
      </c>
      <c r="P46" s="23">
        <f>Test!F148</f>
        <v>0</v>
      </c>
      <c r="Q46" s="23">
        <f>Test!G148</f>
        <v>0</v>
      </c>
      <c r="R46" s="24">
        <f t="shared" si="1"/>
        <v>0</v>
      </c>
      <c r="S46" s="18">
        <f t="shared" si="2"/>
        <v>0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Reference!B149</f>
        <v>0</v>
      </c>
      <c r="E47" s="13">
        <f>Reference!C149</f>
        <v>0</v>
      </c>
      <c r="F47" s="13">
        <f>Reference!D149</f>
        <v>0</v>
      </c>
      <c r="G47" s="13">
        <f>Reference!E149</f>
        <v>0</v>
      </c>
      <c r="H47" s="13">
        <f>Reference!F149</f>
        <v>0</v>
      </c>
      <c r="I47" s="13">
        <f>Reference!G149</f>
        <v>0</v>
      </c>
      <c r="J47" s="14">
        <f t="shared" si="0"/>
        <v>0</v>
      </c>
      <c r="K47" s="26"/>
      <c r="L47" s="12">
        <f>Test!B149</f>
        <v>0</v>
      </c>
      <c r="M47" s="13">
        <f>Test!C149</f>
        <v>0</v>
      </c>
      <c r="N47" s="13">
        <f>Test!D149</f>
        <v>0</v>
      </c>
      <c r="O47" s="13">
        <f>Test!E149</f>
        <v>0</v>
      </c>
      <c r="P47" s="13">
        <f>Test!F149</f>
        <v>0</v>
      </c>
      <c r="Q47" s="13">
        <f>Test!G149</f>
        <v>0</v>
      </c>
      <c r="R47" s="14">
        <f t="shared" si="1"/>
        <v>0</v>
      </c>
      <c r="S47" s="13" t="e">
        <f t="shared" ref="S47:T70" si="5">P47/H47</f>
        <v>#DIV/0!</v>
      </c>
      <c r="T47" s="13" t="e">
        <f t="shared" si="5"/>
        <v>#DIV/0!</v>
      </c>
      <c r="U47" s="91"/>
      <c r="V47" s="94" t="e">
        <f>bdrate($D47:$D50,E47:E50,$L47:$L50,M47:M50)</f>
        <v>#VALUE!</v>
      </c>
      <c r="W47" s="95" t="e">
        <f>bdrate($D47:$D50,F47:F50,$L47:$L50,N47:N50)</f>
        <v>#VALUE!</v>
      </c>
      <c r="X47" s="96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 x14ac:dyDescent="0.2">
      <c r="A48" s="16" t="s">
        <v>46</v>
      </c>
      <c r="B48" s="16"/>
      <c r="C48" s="16">
        <v>27</v>
      </c>
      <c r="D48" s="17">
        <f>Reference!B150</f>
        <v>0</v>
      </c>
      <c r="E48" s="18">
        <f>Reference!C150</f>
        <v>0</v>
      </c>
      <c r="F48" s="18">
        <f>Reference!D150</f>
        <v>0</v>
      </c>
      <c r="G48" s="18">
        <f>Reference!E150</f>
        <v>0</v>
      </c>
      <c r="H48" s="18">
        <f>Reference!F150</f>
        <v>0</v>
      </c>
      <c r="I48" s="18">
        <f>Reference!G150</f>
        <v>0</v>
      </c>
      <c r="J48" s="19">
        <f t="shared" si="0"/>
        <v>0</v>
      </c>
      <c r="K48" s="26"/>
      <c r="L48" s="17">
        <f>Test!B150</f>
        <v>0</v>
      </c>
      <c r="M48" s="18">
        <f>Test!C150</f>
        <v>0</v>
      </c>
      <c r="N48" s="18">
        <f>Test!D150</f>
        <v>0</v>
      </c>
      <c r="O48" s="18">
        <f>Test!E150</f>
        <v>0</v>
      </c>
      <c r="P48" s="18">
        <f>Test!F150</f>
        <v>0</v>
      </c>
      <c r="Q48" s="18">
        <f>Test!G150</f>
        <v>0</v>
      </c>
      <c r="R48" s="19">
        <f t="shared" si="1"/>
        <v>0</v>
      </c>
      <c r="S48" s="18" t="e">
        <f t="shared" si="5"/>
        <v>#DIV/0!</v>
      </c>
      <c r="T48" s="18" t="e">
        <f t="shared" si="5"/>
        <v>#DIV/0!</v>
      </c>
      <c r="U48" s="92"/>
      <c r="V48" s="97"/>
      <c r="W48" s="98"/>
      <c r="X48" s="99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Reference!B151</f>
        <v>0</v>
      </c>
      <c r="E49" s="18">
        <f>Reference!C151</f>
        <v>0</v>
      </c>
      <c r="F49" s="18">
        <f>Reference!D151</f>
        <v>0</v>
      </c>
      <c r="G49" s="18">
        <f>Reference!E151</f>
        <v>0</v>
      </c>
      <c r="H49" s="18">
        <f>Reference!F151</f>
        <v>0</v>
      </c>
      <c r="I49" s="18">
        <f>Reference!G151</f>
        <v>0</v>
      </c>
      <c r="J49" s="19">
        <f t="shared" si="0"/>
        <v>0</v>
      </c>
      <c r="K49" s="26"/>
      <c r="L49" s="17">
        <f>Test!B151</f>
        <v>0</v>
      </c>
      <c r="M49" s="18">
        <f>Test!C151</f>
        <v>0</v>
      </c>
      <c r="N49" s="18">
        <f>Test!D151</f>
        <v>0</v>
      </c>
      <c r="O49" s="18">
        <f>Test!E151</f>
        <v>0</v>
      </c>
      <c r="P49" s="18">
        <f>Test!F151</f>
        <v>0</v>
      </c>
      <c r="Q49" s="18">
        <f>Test!G151</f>
        <v>0</v>
      </c>
      <c r="R49" s="19">
        <f t="shared" si="1"/>
        <v>0</v>
      </c>
      <c r="S49" s="18" t="e">
        <f t="shared" si="5"/>
        <v>#DIV/0!</v>
      </c>
      <c r="T49" s="18" t="e">
        <f t="shared" si="5"/>
        <v>#DIV/0!</v>
      </c>
      <c r="U49" s="92"/>
      <c r="V49" s="97"/>
      <c r="W49" s="98"/>
      <c r="X49" s="99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Reference!B152</f>
        <v>0</v>
      </c>
      <c r="E50" s="23">
        <f>Reference!C152</f>
        <v>0</v>
      </c>
      <c r="F50" s="23">
        <f>Reference!D152</f>
        <v>0</v>
      </c>
      <c r="G50" s="23">
        <f>Reference!E152</f>
        <v>0</v>
      </c>
      <c r="H50" s="23">
        <f>Reference!F152</f>
        <v>0</v>
      </c>
      <c r="I50" s="23">
        <f>Reference!G152</f>
        <v>0</v>
      </c>
      <c r="J50" s="24">
        <f t="shared" si="0"/>
        <v>0</v>
      </c>
      <c r="K50" s="26"/>
      <c r="L50" s="22">
        <f>Test!B152</f>
        <v>0</v>
      </c>
      <c r="M50" s="23">
        <f>Test!C152</f>
        <v>0</v>
      </c>
      <c r="N50" s="23">
        <f>Test!D152</f>
        <v>0</v>
      </c>
      <c r="O50" s="23">
        <f>Test!E152</f>
        <v>0</v>
      </c>
      <c r="P50" s="23">
        <f>Test!F152</f>
        <v>0</v>
      </c>
      <c r="Q50" s="23">
        <f>Test!G152</f>
        <v>0</v>
      </c>
      <c r="R50" s="24">
        <f t="shared" si="1"/>
        <v>0</v>
      </c>
      <c r="S50" s="18" t="e">
        <f t="shared" si="5"/>
        <v>#DIV/0!</v>
      </c>
      <c r="T50" s="18" t="e">
        <f t="shared" si="5"/>
        <v>#DIV/0!</v>
      </c>
      <c r="U50" s="92"/>
      <c r="V50" s="100"/>
      <c r="W50" s="101"/>
      <c r="X50" s="102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Reference!B153</f>
        <v>0</v>
      </c>
      <c r="E51" s="13">
        <f>Reference!C153</f>
        <v>0</v>
      </c>
      <c r="F51" s="13">
        <f>Reference!D153</f>
        <v>0</v>
      </c>
      <c r="G51" s="13">
        <f>Reference!E153</f>
        <v>0</v>
      </c>
      <c r="H51" s="13">
        <f>Reference!F153</f>
        <v>0</v>
      </c>
      <c r="I51" s="13">
        <f>Reference!G153</f>
        <v>0</v>
      </c>
      <c r="J51" s="14">
        <f t="shared" si="0"/>
        <v>0</v>
      </c>
      <c r="K51" s="26"/>
      <c r="L51" s="12">
        <f>Test!B153</f>
        <v>0</v>
      </c>
      <c r="M51" s="13">
        <f>Test!C153</f>
        <v>0</v>
      </c>
      <c r="N51" s="13">
        <f>Test!D153</f>
        <v>0</v>
      </c>
      <c r="O51" s="13">
        <f>Test!E153</f>
        <v>0</v>
      </c>
      <c r="P51" s="13">
        <f>Test!F153</f>
        <v>0</v>
      </c>
      <c r="Q51" s="13">
        <f>Test!G153</f>
        <v>0</v>
      </c>
      <c r="R51" s="14">
        <f t="shared" si="1"/>
        <v>0</v>
      </c>
      <c r="S51" s="18" t="e">
        <f t="shared" si="5"/>
        <v>#DIV/0!</v>
      </c>
      <c r="T51" s="18" t="e">
        <f t="shared" si="5"/>
        <v>#DIV/0!</v>
      </c>
      <c r="U51" s="92"/>
      <c r="V51" s="94" t="e">
        <f>bdrate($D51:$D54,E51:E54,$L51:$L54,M51:M54)</f>
        <v>#VALUE!</v>
      </c>
      <c r="W51" s="95" t="e">
        <f>bdrate($D51:$D54,F51:F54,$L51:$L54,N51:N54)</f>
        <v>#VALUE!</v>
      </c>
      <c r="X51" s="95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 x14ac:dyDescent="0.2">
      <c r="A52" s="16"/>
      <c r="B52" s="16"/>
      <c r="C52" s="16">
        <v>27</v>
      </c>
      <c r="D52" s="17">
        <f>Reference!B154</f>
        <v>0</v>
      </c>
      <c r="E52" s="18">
        <f>Reference!C154</f>
        <v>0</v>
      </c>
      <c r="F52" s="18">
        <f>Reference!D154</f>
        <v>0</v>
      </c>
      <c r="G52" s="18">
        <f>Reference!E154</f>
        <v>0</v>
      </c>
      <c r="H52" s="18">
        <f>Reference!F154</f>
        <v>0</v>
      </c>
      <c r="I52" s="18">
        <f>Reference!G154</f>
        <v>0</v>
      </c>
      <c r="J52" s="19">
        <f t="shared" si="0"/>
        <v>0</v>
      </c>
      <c r="K52" s="26"/>
      <c r="L52" s="17">
        <f>Test!B154</f>
        <v>0</v>
      </c>
      <c r="M52" s="18">
        <f>Test!C154</f>
        <v>0</v>
      </c>
      <c r="N52" s="18">
        <f>Test!D154</f>
        <v>0</v>
      </c>
      <c r="O52" s="18">
        <f>Test!E154</f>
        <v>0</v>
      </c>
      <c r="P52" s="18">
        <f>Test!F154</f>
        <v>0</v>
      </c>
      <c r="Q52" s="18">
        <f>Test!G154</f>
        <v>0</v>
      </c>
      <c r="R52" s="19">
        <f t="shared" si="1"/>
        <v>0</v>
      </c>
      <c r="S52" s="18" t="e">
        <f t="shared" si="5"/>
        <v>#DIV/0!</v>
      </c>
      <c r="T52" s="18" t="e">
        <f t="shared" si="5"/>
        <v>#DIV/0!</v>
      </c>
      <c r="U52" s="92"/>
      <c r="V52" s="97"/>
      <c r="W52" s="98"/>
      <c r="X52" s="98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Reference!B155</f>
        <v>0</v>
      </c>
      <c r="E53" s="18">
        <f>Reference!C155</f>
        <v>0</v>
      </c>
      <c r="F53" s="18">
        <f>Reference!D155</f>
        <v>0</v>
      </c>
      <c r="G53" s="18">
        <f>Reference!E155</f>
        <v>0</v>
      </c>
      <c r="H53" s="18">
        <f>Reference!F155</f>
        <v>0</v>
      </c>
      <c r="I53" s="18">
        <f>Reference!G155</f>
        <v>0</v>
      </c>
      <c r="J53" s="19">
        <f t="shared" si="0"/>
        <v>0</v>
      </c>
      <c r="K53" s="26"/>
      <c r="L53" s="17">
        <f>Test!B155</f>
        <v>0</v>
      </c>
      <c r="M53" s="18">
        <f>Test!C155</f>
        <v>0</v>
      </c>
      <c r="N53" s="18">
        <f>Test!D155</f>
        <v>0</v>
      </c>
      <c r="O53" s="18">
        <f>Test!E155</f>
        <v>0</v>
      </c>
      <c r="P53" s="18">
        <f>Test!F155</f>
        <v>0</v>
      </c>
      <c r="Q53" s="18">
        <f>Test!G155</f>
        <v>0</v>
      </c>
      <c r="R53" s="19">
        <f t="shared" si="1"/>
        <v>0</v>
      </c>
      <c r="S53" s="18" t="e">
        <f t="shared" si="5"/>
        <v>#DIV/0!</v>
      </c>
      <c r="T53" s="18" t="e">
        <f t="shared" si="5"/>
        <v>#DIV/0!</v>
      </c>
      <c r="U53" s="92"/>
      <c r="V53" s="97"/>
      <c r="W53" s="98"/>
      <c r="X53" s="98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Reference!B156</f>
        <v>0</v>
      </c>
      <c r="E54" s="23">
        <f>Reference!C156</f>
        <v>0</v>
      </c>
      <c r="F54" s="23">
        <f>Reference!D156</f>
        <v>0</v>
      </c>
      <c r="G54" s="23">
        <f>Reference!E156</f>
        <v>0</v>
      </c>
      <c r="H54" s="23">
        <f>Reference!F156</f>
        <v>0</v>
      </c>
      <c r="I54" s="23">
        <f>Reference!G156</f>
        <v>0</v>
      </c>
      <c r="J54" s="24">
        <f t="shared" si="0"/>
        <v>0</v>
      </c>
      <c r="K54" s="26"/>
      <c r="L54" s="22">
        <f>Test!B156</f>
        <v>0</v>
      </c>
      <c r="M54" s="23">
        <f>Test!C156</f>
        <v>0</v>
      </c>
      <c r="N54" s="23">
        <f>Test!D156</f>
        <v>0</v>
      </c>
      <c r="O54" s="23">
        <f>Test!E156</f>
        <v>0</v>
      </c>
      <c r="P54" s="23">
        <f>Test!F156</f>
        <v>0</v>
      </c>
      <c r="Q54" s="23">
        <f>Test!G156</f>
        <v>0</v>
      </c>
      <c r="R54" s="24">
        <f t="shared" si="1"/>
        <v>0</v>
      </c>
      <c r="S54" s="18" t="e">
        <f t="shared" si="5"/>
        <v>#DIV/0!</v>
      </c>
      <c r="T54" s="18" t="e">
        <f t="shared" si="5"/>
        <v>#DIV/0!</v>
      </c>
      <c r="U54" s="92"/>
      <c r="V54" s="100"/>
      <c r="W54" s="101"/>
      <c r="X54" s="101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Reference!B157</f>
        <v>0</v>
      </c>
      <c r="E55" s="13">
        <f>Reference!C157</f>
        <v>0</v>
      </c>
      <c r="F55" s="13">
        <f>Reference!D157</f>
        <v>0</v>
      </c>
      <c r="G55" s="13">
        <f>Reference!E157</f>
        <v>0</v>
      </c>
      <c r="H55" s="13">
        <f>Reference!F157</f>
        <v>0</v>
      </c>
      <c r="I55" s="13">
        <f>Reference!G157</f>
        <v>0</v>
      </c>
      <c r="J55" s="14">
        <f t="shared" si="0"/>
        <v>0</v>
      </c>
      <c r="K55" s="26"/>
      <c r="L55" s="12">
        <f>Test!B157</f>
        <v>0</v>
      </c>
      <c r="M55" s="13">
        <f>Test!C157</f>
        <v>0</v>
      </c>
      <c r="N55" s="13">
        <f>Test!D157</f>
        <v>0</v>
      </c>
      <c r="O55" s="13">
        <f>Test!E157</f>
        <v>0</v>
      </c>
      <c r="P55" s="13">
        <f>Test!F157</f>
        <v>0</v>
      </c>
      <c r="Q55" s="13">
        <f>Test!G157</f>
        <v>0</v>
      </c>
      <c r="R55" s="14">
        <f t="shared" si="1"/>
        <v>0</v>
      </c>
      <c r="S55" s="18" t="e">
        <f t="shared" si="5"/>
        <v>#DIV/0!</v>
      </c>
      <c r="T55" s="18" t="e">
        <f t="shared" si="5"/>
        <v>#DIV/0!</v>
      </c>
      <c r="U55" s="92"/>
      <c r="V55" s="94" t="e">
        <f>bdrate($D55:$D58,E55:E58,$L55:$L58,M55:M58)</f>
        <v>#VALUE!</v>
      </c>
      <c r="W55" s="95" t="e">
        <f>bdrate($D55:$D58,F55:F58,$L55:$L58,N55:N58)</f>
        <v>#VALUE!</v>
      </c>
      <c r="X55" s="95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 x14ac:dyDescent="0.2">
      <c r="A56" s="16"/>
      <c r="B56" s="16"/>
      <c r="C56" s="16">
        <v>27</v>
      </c>
      <c r="D56" s="17">
        <f>Reference!B158</f>
        <v>0</v>
      </c>
      <c r="E56" s="18">
        <f>Reference!C158</f>
        <v>0</v>
      </c>
      <c r="F56" s="18">
        <f>Reference!D158</f>
        <v>0</v>
      </c>
      <c r="G56" s="18">
        <f>Reference!E158</f>
        <v>0</v>
      </c>
      <c r="H56" s="18">
        <f>Reference!F158</f>
        <v>0</v>
      </c>
      <c r="I56" s="18">
        <f>Reference!G158</f>
        <v>0</v>
      </c>
      <c r="J56" s="19">
        <f t="shared" si="0"/>
        <v>0</v>
      </c>
      <c r="K56" s="26"/>
      <c r="L56" s="17">
        <f>Test!B158</f>
        <v>0</v>
      </c>
      <c r="M56" s="18">
        <f>Test!C158</f>
        <v>0</v>
      </c>
      <c r="N56" s="18">
        <f>Test!D158</f>
        <v>0</v>
      </c>
      <c r="O56" s="18">
        <f>Test!E158</f>
        <v>0</v>
      </c>
      <c r="P56" s="18">
        <f>Test!F158</f>
        <v>0</v>
      </c>
      <c r="Q56" s="18">
        <f>Test!G158</f>
        <v>0</v>
      </c>
      <c r="R56" s="19">
        <f t="shared" si="1"/>
        <v>0</v>
      </c>
      <c r="S56" s="18" t="e">
        <f t="shared" si="5"/>
        <v>#DIV/0!</v>
      </c>
      <c r="T56" s="18" t="e">
        <f t="shared" si="5"/>
        <v>#DIV/0!</v>
      </c>
      <c r="U56" s="92"/>
      <c r="V56" s="97"/>
      <c r="W56" s="98"/>
      <c r="X56" s="98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Reference!B159</f>
        <v>0</v>
      </c>
      <c r="E57" s="18">
        <f>Reference!C159</f>
        <v>0</v>
      </c>
      <c r="F57" s="18">
        <f>Reference!D159</f>
        <v>0</v>
      </c>
      <c r="G57" s="18">
        <f>Reference!E159</f>
        <v>0</v>
      </c>
      <c r="H57" s="18">
        <f>Reference!F159</f>
        <v>0</v>
      </c>
      <c r="I57" s="18">
        <f>Reference!G159</f>
        <v>0</v>
      </c>
      <c r="J57" s="19">
        <f t="shared" si="0"/>
        <v>0</v>
      </c>
      <c r="K57" s="26"/>
      <c r="L57" s="17">
        <f>Test!B159</f>
        <v>0</v>
      </c>
      <c r="M57" s="18">
        <f>Test!C159</f>
        <v>0</v>
      </c>
      <c r="N57" s="18">
        <f>Test!D159</f>
        <v>0</v>
      </c>
      <c r="O57" s="18">
        <f>Test!E159</f>
        <v>0</v>
      </c>
      <c r="P57" s="18">
        <f>Test!F159</f>
        <v>0</v>
      </c>
      <c r="Q57" s="18">
        <f>Test!G159</f>
        <v>0</v>
      </c>
      <c r="R57" s="19">
        <f t="shared" si="1"/>
        <v>0</v>
      </c>
      <c r="S57" s="18" t="e">
        <f t="shared" si="5"/>
        <v>#DIV/0!</v>
      </c>
      <c r="T57" s="18" t="e">
        <f t="shared" si="5"/>
        <v>#DIV/0!</v>
      </c>
      <c r="U57" s="92"/>
      <c r="V57" s="97"/>
      <c r="W57" s="98"/>
      <c r="X57" s="98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Reference!B160</f>
        <v>0</v>
      </c>
      <c r="E58" s="23">
        <f>Reference!C160</f>
        <v>0</v>
      </c>
      <c r="F58" s="23">
        <f>Reference!D160</f>
        <v>0</v>
      </c>
      <c r="G58" s="23">
        <f>Reference!E160</f>
        <v>0</v>
      </c>
      <c r="H58" s="23">
        <f>Reference!F160</f>
        <v>0</v>
      </c>
      <c r="I58" s="23">
        <f>Reference!G160</f>
        <v>0</v>
      </c>
      <c r="J58" s="24">
        <f t="shared" si="0"/>
        <v>0</v>
      </c>
      <c r="K58" s="26"/>
      <c r="L58" s="22">
        <f>Test!B160</f>
        <v>0</v>
      </c>
      <c r="M58" s="23">
        <f>Test!C160</f>
        <v>0</v>
      </c>
      <c r="N58" s="23">
        <f>Test!D160</f>
        <v>0</v>
      </c>
      <c r="O58" s="23">
        <f>Test!E160</f>
        <v>0</v>
      </c>
      <c r="P58" s="23">
        <f>Test!F160</f>
        <v>0</v>
      </c>
      <c r="Q58" s="23">
        <f>Test!G160</f>
        <v>0</v>
      </c>
      <c r="R58" s="24">
        <f t="shared" si="1"/>
        <v>0</v>
      </c>
      <c r="S58" s="18" t="e">
        <f t="shared" si="5"/>
        <v>#DIV/0!</v>
      </c>
      <c r="T58" s="18" t="e">
        <f t="shared" si="5"/>
        <v>#DIV/0!</v>
      </c>
      <c r="U58" s="92"/>
      <c r="V58" s="100"/>
      <c r="W58" s="101"/>
      <c r="X58" s="101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Reference!B161</f>
        <v>0</v>
      </c>
      <c r="E59" s="13">
        <f>Reference!C161</f>
        <v>0</v>
      </c>
      <c r="F59" s="13">
        <f>Reference!D161</f>
        <v>0</v>
      </c>
      <c r="G59" s="13">
        <f>Reference!E161</f>
        <v>0</v>
      </c>
      <c r="H59" s="13">
        <f>Reference!F161</f>
        <v>0</v>
      </c>
      <c r="I59" s="13">
        <f>Reference!G161</f>
        <v>0</v>
      </c>
      <c r="J59" s="14">
        <f t="shared" si="0"/>
        <v>0</v>
      </c>
      <c r="K59" s="26"/>
      <c r="L59" s="12">
        <f>Test!B161</f>
        <v>0</v>
      </c>
      <c r="M59" s="13">
        <f>Test!C161</f>
        <v>0</v>
      </c>
      <c r="N59" s="13">
        <f>Test!D161</f>
        <v>0</v>
      </c>
      <c r="O59" s="13">
        <f>Test!E161</f>
        <v>0</v>
      </c>
      <c r="P59" s="13">
        <f>Test!F161</f>
        <v>0</v>
      </c>
      <c r="Q59" s="13">
        <f>Test!G161</f>
        <v>0</v>
      </c>
      <c r="R59" s="14">
        <f t="shared" si="1"/>
        <v>0</v>
      </c>
      <c r="S59" s="18" t="e">
        <f t="shared" si="5"/>
        <v>#DIV/0!</v>
      </c>
      <c r="T59" s="18" t="e">
        <f t="shared" si="5"/>
        <v>#DIV/0!</v>
      </c>
      <c r="U59" s="92"/>
      <c r="V59" s="94" t="e">
        <f>bdrate($D59:$D62,E59:E62,$L59:$L62,M59:M62)</f>
        <v>#VALUE!</v>
      </c>
      <c r="W59" s="95" t="e">
        <f>bdrate($D59:$D62,F59:F62,$L59:$L62,N59:N62)</f>
        <v>#VALUE!</v>
      </c>
      <c r="X59" s="95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 x14ac:dyDescent="0.2">
      <c r="A60" s="16"/>
      <c r="B60" s="16"/>
      <c r="C60" s="16">
        <v>27</v>
      </c>
      <c r="D60" s="17">
        <f>Reference!B162</f>
        <v>0</v>
      </c>
      <c r="E60" s="18">
        <f>Reference!C162</f>
        <v>0</v>
      </c>
      <c r="F60" s="18">
        <f>Reference!D162</f>
        <v>0</v>
      </c>
      <c r="G60" s="18">
        <f>Reference!E162</f>
        <v>0</v>
      </c>
      <c r="H60" s="18">
        <f>Reference!F162</f>
        <v>0</v>
      </c>
      <c r="I60" s="18">
        <f>Reference!G162</f>
        <v>0</v>
      </c>
      <c r="J60" s="19">
        <f t="shared" ref="J60:J106" si="6">H60/3600</f>
        <v>0</v>
      </c>
      <c r="K60" s="26"/>
      <c r="L60" s="17">
        <f>Test!B162</f>
        <v>0</v>
      </c>
      <c r="M60" s="18">
        <f>Test!C162</f>
        <v>0</v>
      </c>
      <c r="N60" s="18">
        <f>Test!D162</f>
        <v>0</v>
      </c>
      <c r="O60" s="18">
        <f>Test!E162</f>
        <v>0</v>
      </c>
      <c r="P60" s="18">
        <f>Test!F162</f>
        <v>0</v>
      </c>
      <c r="Q60" s="18">
        <f>Test!G162</f>
        <v>0</v>
      </c>
      <c r="R60" s="19">
        <f t="shared" ref="R60:R106" si="7">P60/3600</f>
        <v>0</v>
      </c>
      <c r="S60" s="18" t="e">
        <f t="shared" si="5"/>
        <v>#DIV/0!</v>
      </c>
      <c r="T60" s="18" t="e">
        <f t="shared" si="5"/>
        <v>#DIV/0!</v>
      </c>
      <c r="U60" s="92"/>
      <c r="V60" s="97"/>
      <c r="W60" s="98"/>
      <c r="X60" s="98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Reference!B163</f>
        <v>0</v>
      </c>
      <c r="E61" s="18">
        <f>Reference!C163</f>
        <v>0</v>
      </c>
      <c r="F61" s="18">
        <f>Reference!D163</f>
        <v>0</v>
      </c>
      <c r="G61" s="18">
        <f>Reference!E163</f>
        <v>0</v>
      </c>
      <c r="H61" s="18">
        <f>Reference!F163</f>
        <v>0</v>
      </c>
      <c r="I61" s="18">
        <f>Reference!G163</f>
        <v>0</v>
      </c>
      <c r="J61" s="19">
        <f t="shared" si="6"/>
        <v>0</v>
      </c>
      <c r="K61" s="26"/>
      <c r="L61" s="17">
        <f>Test!B163</f>
        <v>0</v>
      </c>
      <c r="M61" s="18">
        <f>Test!C163</f>
        <v>0</v>
      </c>
      <c r="N61" s="18">
        <f>Test!D163</f>
        <v>0</v>
      </c>
      <c r="O61" s="18">
        <f>Test!E163</f>
        <v>0</v>
      </c>
      <c r="P61" s="18">
        <f>Test!F163</f>
        <v>0</v>
      </c>
      <c r="Q61" s="18">
        <f>Test!G163</f>
        <v>0</v>
      </c>
      <c r="R61" s="19">
        <f t="shared" si="7"/>
        <v>0</v>
      </c>
      <c r="S61" s="18" t="e">
        <f t="shared" si="5"/>
        <v>#DIV/0!</v>
      </c>
      <c r="T61" s="18" t="e">
        <f t="shared" si="5"/>
        <v>#DIV/0!</v>
      </c>
      <c r="U61" s="92"/>
      <c r="V61" s="97"/>
      <c r="W61" s="98"/>
      <c r="X61" s="98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Reference!B164</f>
        <v>0</v>
      </c>
      <c r="E62" s="23">
        <f>Reference!C164</f>
        <v>0</v>
      </c>
      <c r="F62" s="23">
        <f>Reference!D164</f>
        <v>0</v>
      </c>
      <c r="G62" s="23">
        <f>Reference!E164</f>
        <v>0</v>
      </c>
      <c r="H62" s="23">
        <f>Reference!F164</f>
        <v>0</v>
      </c>
      <c r="I62" s="23">
        <f>Reference!G164</f>
        <v>0</v>
      </c>
      <c r="J62" s="24">
        <f t="shared" si="6"/>
        <v>0</v>
      </c>
      <c r="K62" s="26"/>
      <c r="L62" s="22">
        <f>Test!B164</f>
        <v>0</v>
      </c>
      <c r="M62" s="23">
        <f>Test!C164</f>
        <v>0</v>
      </c>
      <c r="N62" s="23">
        <f>Test!D164</f>
        <v>0</v>
      </c>
      <c r="O62" s="23">
        <f>Test!E164</f>
        <v>0</v>
      </c>
      <c r="P62" s="23">
        <f>Test!F164</f>
        <v>0</v>
      </c>
      <c r="Q62" s="23">
        <f>Test!G164</f>
        <v>0</v>
      </c>
      <c r="R62" s="24">
        <f t="shared" si="7"/>
        <v>0</v>
      </c>
      <c r="S62" s="23" t="e">
        <f t="shared" si="5"/>
        <v>#DIV/0!</v>
      </c>
      <c r="T62" s="23" t="e">
        <f t="shared" si="5"/>
        <v>#DIV/0!</v>
      </c>
      <c r="U62" s="93"/>
      <c r="V62" s="100"/>
      <c r="W62" s="101"/>
      <c r="X62" s="101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Reference!B165</f>
        <v>0</v>
      </c>
      <c r="E63" s="13">
        <f>Reference!C165</f>
        <v>0</v>
      </c>
      <c r="F63" s="13">
        <f>Reference!D165</f>
        <v>0</v>
      </c>
      <c r="G63" s="13">
        <f>Reference!E165</f>
        <v>0</v>
      </c>
      <c r="H63" s="13">
        <f>Reference!F165</f>
        <v>0</v>
      </c>
      <c r="I63" s="13">
        <f>Reference!G165</f>
        <v>0</v>
      </c>
      <c r="J63" s="14">
        <f t="shared" si="6"/>
        <v>0</v>
      </c>
      <c r="K63" s="26"/>
      <c r="L63" s="12">
        <f>Test!B165</f>
        <v>0</v>
      </c>
      <c r="M63" s="13">
        <f>Test!C165</f>
        <v>0</v>
      </c>
      <c r="N63" s="13">
        <f>Test!D165</f>
        <v>0</v>
      </c>
      <c r="O63" s="13">
        <f>Test!E165</f>
        <v>0</v>
      </c>
      <c r="P63" s="13">
        <f>Test!F165</f>
        <v>0</v>
      </c>
      <c r="Q63" s="13">
        <f>Test!G165</f>
        <v>0</v>
      </c>
      <c r="R63" s="14">
        <f t="shared" si="7"/>
        <v>0</v>
      </c>
      <c r="S63" s="13" t="e">
        <f>P63/H63</f>
        <v>#DIV/0!</v>
      </c>
      <c r="T63" s="13" t="e">
        <f t="shared" si="5"/>
        <v>#DIV/0!</v>
      </c>
      <c r="U63" s="91"/>
      <c r="V63" s="94" t="e">
        <f>bdrate($D63:$D66,E63:E66,$L63:$L66,M63:M66)</f>
        <v>#VALUE!</v>
      </c>
      <c r="W63" s="95" t="e">
        <f>bdrate($D63:$D66,F63:F66,$L63:$L66,N63:N66)</f>
        <v>#VALUE!</v>
      </c>
      <c r="X63" s="96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Reference!B166</f>
        <v>0</v>
      </c>
      <c r="E64" s="18">
        <f>Reference!C166</f>
        <v>0</v>
      </c>
      <c r="F64" s="18">
        <f>Reference!D166</f>
        <v>0</v>
      </c>
      <c r="G64" s="18">
        <f>Reference!E166</f>
        <v>0</v>
      </c>
      <c r="H64" s="18">
        <f>Reference!F166</f>
        <v>0</v>
      </c>
      <c r="I64" s="18">
        <f>Reference!G166</f>
        <v>0</v>
      </c>
      <c r="J64" s="19">
        <f t="shared" si="6"/>
        <v>0</v>
      </c>
      <c r="K64" s="26"/>
      <c r="L64" s="17">
        <f>Test!B166</f>
        <v>0</v>
      </c>
      <c r="M64" s="18">
        <f>Test!C166</f>
        <v>0</v>
      </c>
      <c r="N64" s="18">
        <f>Test!D166</f>
        <v>0</v>
      </c>
      <c r="O64" s="18">
        <f>Test!E166</f>
        <v>0</v>
      </c>
      <c r="P64" s="18">
        <f>Test!F166</f>
        <v>0</v>
      </c>
      <c r="Q64" s="18">
        <f>Test!G166</f>
        <v>0</v>
      </c>
      <c r="R64" s="19">
        <f t="shared" si="7"/>
        <v>0</v>
      </c>
      <c r="S64" s="18" t="e">
        <f>P64/H64</f>
        <v>#DIV/0!</v>
      </c>
      <c r="T64" s="18" t="e">
        <f t="shared" si="5"/>
        <v>#DIV/0!</v>
      </c>
      <c r="U64" s="92"/>
      <c r="V64" s="97"/>
      <c r="W64" s="98"/>
      <c r="X64" s="99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Reference!B167</f>
        <v>0</v>
      </c>
      <c r="E65" s="18">
        <f>Reference!C167</f>
        <v>0</v>
      </c>
      <c r="F65" s="18">
        <f>Reference!D167</f>
        <v>0</v>
      </c>
      <c r="G65" s="18">
        <f>Reference!E167</f>
        <v>0</v>
      </c>
      <c r="H65" s="18">
        <f>Reference!F167</f>
        <v>0</v>
      </c>
      <c r="I65" s="18">
        <f>Reference!G167</f>
        <v>0</v>
      </c>
      <c r="J65" s="19">
        <f t="shared" si="6"/>
        <v>0</v>
      </c>
      <c r="K65" s="26"/>
      <c r="L65" s="17">
        <f>Test!B167</f>
        <v>0</v>
      </c>
      <c r="M65" s="18">
        <f>Test!C167</f>
        <v>0</v>
      </c>
      <c r="N65" s="18">
        <f>Test!D167</f>
        <v>0</v>
      </c>
      <c r="O65" s="18">
        <f>Test!E167</f>
        <v>0</v>
      </c>
      <c r="P65" s="18">
        <f>Test!F167</f>
        <v>0</v>
      </c>
      <c r="Q65" s="18">
        <f>Test!G167</f>
        <v>0</v>
      </c>
      <c r="R65" s="19">
        <f t="shared" si="7"/>
        <v>0</v>
      </c>
      <c r="S65" s="18" t="e">
        <f>P65/H65</f>
        <v>#DIV/0!</v>
      </c>
      <c r="T65" s="18" t="e">
        <f t="shared" si="5"/>
        <v>#DIV/0!</v>
      </c>
      <c r="U65" s="92"/>
      <c r="V65" s="97"/>
      <c r="W65" s="98"/>
      <c r="X65" s="99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Reference!B168</f>
        <v>0</v>
      </c>
      <c r="E66" s="23">
        <f>Reference!C168</f>
        <v>0</v>
      </c>
      <c r="F66" s="23">
        <f>Reference!D168</f>
        <v>0</v>
      </c>
      <c r="G66" s="23">
        <f>Reference!E168</f>
        <v>0</v>
      </c>
      <c r="H66" s="23">
        <f>Reference!F168</f>
        <v>0</v>
      </c>
      <c r="I66" s="23">
        <f>Reference!G168</f>
        <v>0</v>
      </c>
      <c r="J66" s="24">
        <f t="shared" si="6"/>
        <v>0</v>
      </c>
      <c r="K66" s="26"/>
      <c r="L66" s="22">
        <f>Test!B168</f>
        <v>0</v>
      </c>
      <c r="M66" s="23">
        <f>Test!C168</f>
        <v>0</v>
      </c>
      <c r="N66" s="23">
        <f>Test!D168</f>
        <v>0</v>
      </c>
      <c r="O66" s="23">
        <f>Test!E168</f>
        <v>0</v>
      </c>
      <c r="P66" s="23">
        <f>Test!F168</f>
        <v>0</v>
      </c>
      <c r="Q66" s="23">
        <f>Test!G168</f>
        <v>0</v>
      </c>
      <c r="R66" s="24">
        <f t="shared" si="7"/>
        <v>0</v>
      </c>
      <c r="S66" s="18" t="e">
        <f>P66/H66</f>
        <v>#DIV/0!</v>
      </c>
      <c r="T66" s="18" t="e">
        <f t="shared" si="5"/>
        <v>#DIV/0!</v>
      </c>
      <c r="U66" s="92"/>
      <c r="V66" s="100"/>
      <c r="W66" s="101"/>
      <c r="X66" s="102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Reference!B169</f>
        <v>0</v>
      </c>
      <c r="E67" s="13">
        <f>Reference!C169</f>
        <v>0</v>
      </c>
      <c r="F67" s="13">
        <f>Reference!D169</f>
        <v>0</v>
      </c>
      <c r="G67" s="13">
        <f>Reference!E169</f>
        <v>0</v>
      </c>
      <c r="H67" s="13">
        <f>Reference!F169</f>
        <v>0</v>
      </c>
      <c r="I67" s="13">
        <f>Reference!G169</f>
        <v>0</v>
      </c>
      <c r="J67" s="14">
        <f t="shared" si="6"/>
        <v>0</v>
      </c>
      <c r="K67" s="26"/>
      <c r="L67" s="12">
        <f>Test!B169</f>
        <v>0</v>
      </c>
      <c r="M67" s="13">
        <f>Test!C169</f>
        <v>0</v>
      </c>
      <c r="N67" s="13">
        <f>Test!D169</f>
        <v>0</v>
      </c>
      <c r="O67" s="13">
        <f>Test!E169</f>
        <v>0</v>
      </c>
      <c r="P67" s="13">
        <f>Test!F169</f>
        <v>0</v>
      </c>
      <c r="Q67" s="13">
        <f>Test!G169</f>
        <v>0</v>
      </c>
      <c r="R67" s="14">
        <f t="shared" si="7"/>
        <v>0</v>
      </c>
      <c r="S67" s="18" t="e">
        <f t="shared" si="5"/>
        <v>#DIV/0!</v>
      </c>
      <c r="T67" s="18" t="e">
        <f t="shared" si="5"/>
        <v>#DIV/0!</v>
      </c>
      <c r="U67" s="92"/>
      <c r="V67" s="94" t="e">
        <f>bdrate($D67:$D70,E67:E70,$L67:$L70,M67:M70)</f>
        <v>#VALUE!</v>
      </c>
      <c r="W67" s="95" t="e">
        <f>bdrate($D67:$D70,F67:F70,$L67:$L70,N67:N70)</f>
        <v>#VALUE!</v>
      </c>
      <c r="X67" s="95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 x14ac:dyDescent="0.2">
      <c r="A68" s="16"/>
      <c r="B68" s="16"/>
      <c r="C68" s="16">
        <v>27</v>
      </c>
      <c r="D68" s="17">
        <f>Reference!B170</f>
        <v>0</v>
      </c>
      <c r="E68" s="18">
        <f>Reference!C170</f>
        <v>0</v>
      </c>
      <c r="F68" s="18">
        <f>Reference!D170</f>
        <v>0</v>
      </c>
      <c r="G68" s="18">
        <f>Reference!E170</f>
        <v>0</v>
      </c>
      <c r="H68" s="18">
        <f>Reference!F170</f>
        <v>0</v>
      </c>
      <c r="I68" s="18">
        <f>Reference!G170</f>
        <v>0</v>
      </c>
      <c r="J68" s="19">
        <f t="shared" si="6"/>
        <v>0</v>
      </c>
      <c r="K68" s="26"/>
      <c r="L68" s="17">
        <f>Test!B170</f>
        <v>0</v>
      </c>
      <c r="M68" s="18">
        <f>Test!C170</f>
        <v>0</v>
      </c>
      <c r="N68" s="18">
        <f>Test!D170</f>
        <v>0</v>
      </c>
      <c r="O68" s="18">
        <f>Test!E170</f>
        <v>0</v>
      </c>
      <c r="P68" s="18">
        <f>Test!F170</f>
        <v>0</v>
      </c>
      <c r="Q68" s="18">
        <f>Test!G170</f>
        <v>0</v>
      </c>
      <c r="R68" s="19">
        <f t="shared" si="7"/>
        <v>0</v>
      </c>
      <c r="S68" s="18" t="e">
        <f t="shared" si="5"/>
        <v>#DIV/0!</v>
      </c>
      <c r="T68" s="18" t="e">
        <f t="shared" si="5"/>
        <v>#DIV/0!</v>
      </c>
      <c r="U68" s="92"/>
      <c r="V68" s="97"/>
      <c r="W68" s="98"/>
      <c r="X68" s="98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Reference!B171</f>
        <v>0</v>
      </c>
      <c r="E69" s="18">
        <f>Reference!C171</f>
        <v>0</v>
      </c>
      <c r="F69" s="18">
        <f>Reference!D171</f>
        <v>0</v>
      </c>
      <c r="G69" s="18">
        <f>Reference!E171</f>
        <v>0</v>
      </c>
      <c r="H69" s="18">
        <f>Reference!F171</f>
        <v>0</v>
      </c>
      <c r="I69" s="18">
        <f>Reference!G171</f>
        <v>0</v>
      </c>
      <c r="J69" s="19">
        <f t="shared" si="6"/>
        <v>0</v>
      </c>
      <c r="K69" s="26"/>
      <c r="L69" s="17">
        <f>Test!B171</f>
        <v>0</v>
      </c>
      <c r="M69" s="18">
        <f>Test!C171</f>
        <v>0</v>
      </c>
      <c r="N69" s="18">
        <f>Test!D171</f>
        <v>0</v>
      </c>
      <c r="O69" s="18">
        <f>Test!E171</f>
        <v>0</v>
      </c>
      <c r="P69" s="18">
        <f>Test!F171</f>
        <v>0</v>
      </c>
      <c r="Q69" s="18">
        <f>Test!G171</f>
        <v>0</v>
      </c>
      <c r="R69" s="19">
        <f t="shared" si="7"/>
        <v>0</v>
      </c>
      <c r="S69" s="18" t="e">
        <f t="shared" si="5"/>
        <v>#DIV/0!</v>
      </c>
      <c r="T69" s="18" t="e">
        <f t="shared" si="5"/>
        <v>#DIV/0!</v>
      </c>
      <c r="U69" s="92"/>
      <c r="V69" s="97"/>
      <c r="W69" s="98"/>
      <c r="X69" s="98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Reference!B172</f>
        <v>0</v>
      </c>
      <c r="E70" s="23">
        <f>Reference!C172</f>
        <v>0</v>
      </c>
      <c r="F70" s="23">
        <f>Reference!D172</f>
        <v>0</v>
      </c>
      <c r="G70" s="23">
        <f>Reference!E172</f>
        <v>0</v>
      </c>
      <c r="H70" s="23">
        <f>Reference!F172</f>
        <v>0</v>
      </c>
      <c r="I70" s="23">
        <f>Reference!G172</f>
        <v>0</v>
      </c>
      <c r="J70" s="24">
        <f t="shared" si="6"/>
        <v>0</v>
      </c>
      <c r="K70" s="26"/>
      <c r="L70" s="22">
        <f>Test!B172</f>
        <v>0</v>
      </c>
      <c r="M70" s="23">
        <f>Test!C172</f>
        <v>0</v>
      </c>
      <c r="N70" s="23">
        <f>Test!D172</f>
        <v>0</v>
      </c>
      <c r="O70" s="23">
        <f>Test!E172</f>
        <v>0</v>
      </c>
      <c r="P70" s="23">
        <f>Test!F172</f>
        <v>0</v>
      </c>
      <c r="Q70" s="23">
        <f>Test!G172</f>
        <v>0</v>
      </c>
      <c r="R70" s="24">
        <f t="shared" si="7"/>
        <v>0</v>
      </c>
      <c r="S70" s="18" t="e">
        <f t="shared" si="5"/>
        <v>#DIV/0!</v>
      </c>
      <c r="T70" s="18" t="e">
        <f t="shared" si="5"/>
        <v>#DIV/0!</v>
      </c>
      <c r="U70" s="92"/>
      <c r="V70" s="100"/>
      <c r="W70" s="101"/>
      <c r="X70" s="101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Reference!B173</f>
        <v>0</v>
      </c>
      <c r="E71" s="13">
        <f>Reference!C173</f>
        <v>0</v>
      </c>
      <c r="F71" s="13">
        <f>Reference!D173</f>
        <v>0</v>
      </c>
      <c r="G71" s="13">
        <f>Reference!E173</f>
        <v>0</v>
      </c>
      <c r="H71" s="13">
        <f>Reference!F173</f>
        <v>0</v>
      </c>
      <c r="I71" s="13">
        <f>Reference!G173</f>
        <v>0</v>
      </c>
      <c r="J71" s="14">
        <f t="shared" si="6"/>
        <v>0</v>
      </c>
      <c r="K71" s="26"/>
      <c r="L71" s="12">
        <f>Test!B173</f>
        <v>0</v>
      </c>
      <c r="M71" s="13">
        <f>Test!C173</f>
        <v>0</v>
      </c>
      <c r="N71" s="13">
        <f>Test!D173</f>
        <v>0</v>
      </c>
      <c r="O71" s="13">
        <f>Test!E173</f>
        <v>0</v>
      </c>
      <c r="P71" s="13">
        <f>Test!F173</f>
        <v>0</v>
      </c>
      <c r="Q71" s="13">
        <f>Test!G173</f>
        <v>0</v>
      </c>
      <c r="R71" s="14">
        <f t="shared" si="7"/>
        <v>0</v>
      </c>
      <c r="S71" s="18" t="e">
        <f t="shared" ref="S71:T78" si="8">P71/H71</f>
        <v>#DIV/0!</v>
      </c>
      <c r="T71" s="18" t="e">
        <f t="shared" si="8"/>
        <v>#DIV/0!</v>
      </c>
      <c r="U71" s="92"/>
      <c r="V71" s="94" t="e">
        <f>bdrate($D71:$D74,E71:E74,$L71:$L74,M71:M74)</f>
        <v>#VALUE!</v>
      </c>
      <c r="W71" s="95" t="e">
        <f>bdrate($D71:$D74,F71:F74,$L71:$L74,N71:N74)</f>
        <v>#VALUE!</v>
      </c>
      <c r="X71" s="95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 x14ac:dyDescent="0.2">
      <c r="A72" s="16"/>
      <c r="B72" s="16"/>
      <c r="C72" s="16">
        <v>27</v>
      </c>
      <c r="D72" s="17">
        <f>Reference!B174</f>
        <v>0</v>
      </c>
      <c r="E72" s="18">
        <f>Reference!C174</f>
        <v>0</v>
      </c>
      <c r="F72" s="18">
        <f>Reference!D174</f>
        <v>0</v>
      </c>
      <c r="G72" s="18">
        <f>Reference!E174</f>
        <v>0</v>
      </c>
      <c r="H72" s="18">
        <f>Reference!F174</f>
        <v>0</v>
      </c>
      <c r="I72" s="18">
        <f>Reference!G174</f>
        <v>0</v>
      </c>
      <c r="J72" s="19">
        <f t="shared" si="6"/>
        <v>0</v>
      </c>
      <c r="K72" s="26"/>
      <c r="L72" s="17">
        <f>Test!B174</f>
        <v>0</v>
      </c>
      <c r="M72" s="18">
        <f>Test!C174</f>
        <v>0</v>
      </c>
      <c r="N72" s="18">
        <f>Test!D174</f>
        <v>0</v>
      </c>
      <c r="O72" s="18">
        <f>Test!E174</f>
        <v>0</v>
      </c>
      <c r="P72" s="18">
        <f>Test!F174</f>
        <v>0</v>
      </c>
      <c r="Q72" s="18">
        <f>Test!G174</f>
        <v>0</v>
      </c>
      <c r="R72" s="19">
        <f t="shared" si="7"/>
        <v>0</v>
      </c>
      <c r="S72" s="18" t="e">
        <f t="shared" si="8"/>
        <v>#DIV/0!</v>
      </c>
      <c r="T72" s="18" t="e">
        <f t="shared" si="8"/>
        <v>#DIV/0!</v>
      </c>
      <c r="U72" s="92"/>
      <c r="V72" s="97"/>
      <c r="W72" s="98"/>
      <c r="X72" s="98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Reference!B175</f>
        <v>0</v>
      </c>
      <c r="E73" s="18">
        <f>Reference!C175</f>
        <v>0</v>
      </c>
      <c r="F73" s="18">
        <f>Reference!D175</f>
        <v>0</v>
      </c>
      <c r="G73" s="18">
        <f>Reference!E175</f>
        <v>0</v>
      </c>
      <c r="H73" s="18">
        <f>Reference!F175</f>
        <v>0</v>
      </c>
      <c r="I73" s="18">
        <f>Reference!G175</f>
        <v>0</v>
      </c>
      <c r="J73" s="19">
        <f t="shared" si="6"/>
        <v>0</v>
      </c>
      <c r="K73" s="26"/>
      <c r="L73" s="17">
        <f>Test!B175</f>
        <v>0</v>
      </c>
      <c r="M73" s="18">
        <f>Test!C175</f>
        <v>0</v>
      </c>
      <c r="N73" s="18">
        <f>Test!D175</f>
        <v>0</v>
      </c>
      <c r="O73" s="18">
        <f>Test!E175</f>
        <v>0</v>
      </c>
      <c r="P73" s="18">
        <f>Test!F175</f>
        <v>0</v>
      </c>
      <c r="Q73" s="18">
        <f>Test!G175</f>
        <v>0</v>
      </c>
      <c r="R73" s="19">
        <f t="shared" si="7"/>
        <v>0</v>
      </c>
      <c r="S73" s="18" t="e">
        <f t="shared" si="8"/>
        <v>#DIV/0!</v>
      </c>
      <c r="T73" s="18" t="e">
        <f t="shared" si="8"/>
        <v>#DIV/0!</v>
      </c>
      <c r="U73" s="92"/>
      <c r="V73" s="97"/>
      <c r="W73" s="98"/>
      <c r="X73" s="98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Reference!B176</f>
        <v>0</v>
      </c>
      <c r="E74" s="23">
        <f>Reference!C176</f>
        <v>0</v>
      </c>
      <c r="F74" s="23">
        <f>Reference!D176</f>
        <v>0</v>
      </c>
      <c r="G74" s="23">
        <f>Reference!E176</f>
        <v>0</v>
      </c>
      <c r="H74" s="23">
        <f>Reference!F176</f>
        <v>0</v>
      </c>
      <c r="I74" s="23">
        <f>Reference!G176</f>
        <v>0</v>
      </c>
      <c r="J74" s="24">
        <f t="shared" si="6"/>
        <v>0</v>
      </c>
      <c r="K74" s="26"/>
      <c r="L74" s="22">
        <f>Test!B176</f>
        <v>0</v>
      </c>
      <c r="M74" s="23">
        <f>Test!C176</f>
        <v>0</v>
      </c>
      <c r="N74" s="23">
        <f>Test!D176</f>
        <v>0</v>
      </c>
      <c r="O74" s="23">
        <f>Test!E176</f>
        <v>0</v>
      </c>
      <c r="P74" s="23">
        <f>Test!F176</f>
        <v>0</v>
      </c>
      <c r="Q74" s="23">
        <f>Test!G176</f>
        <v>0</v>
      </c>
      <c r="R74" s="24">
        <f t="shared" si="7"/>
        <v>0</v>
      </c>
      <c r="S74" s="18" t="e">
        <f t="shared" si="8"/>
        <v>#DIV/0!</v>
      </c>
      <c r="T74" s="18" t="e">
        <f t="shared" si="8"/>
        <v>#DIV/0!</v>
      </c>
      <c r="U74" s="92"/>
      <c r="V74" s="100"/>
      <c r="W74" s="101"/>
      <c r="X74" s="101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Reference!B177</f>
        <v>0</v>
      </c>
      <c r="E75" s="13">
        <f>Reference!C177</f>
        <v>0</v>
      </c>
      <c r="F75" s="13">
        <f>Reference!D177</f>
        <v>0</v>
      </c>
      <c r="G75" s="13">
        <f>Reference!E177</f>
        <v>0</v>
      </c>
      <c r="H75" s="13">
        <f>Reference!F177</f>
        <v>0</v>
      </c>
      <c r="I75" s="13">
        <f>Reference!G177</f>
        <v>0</v>
      </c>
      <c r="J75" s="14">
        <f t="shared" si="6"/>
        <v>0</v>
      </c>
      <c r="K75" s="26"/>
      <c r="L75" s="12">
        <f>Test!B177</f>
        <v>0</v>
      </c>
      <c r="M75" s="13">
        <f>Test!C177</f>
        <v>0</v>
      </c>
      <c r="N75" s="13">
        <f>Test!D177</f>
        <v>0</v>
      </c>
      <c r="O75" s="13">
        <f>Test!E177</f>
        <v>0</v>
      </c>
      <c r="P75" s="13">
        <f>Test!F177</f>
        <v>0</v>
      </c>
      <c r="Q75" s="13">
        <f>Test!G177</f>
        <v>0</v>
      </c>
      <c r="R75" s="14">
        <f t="shared" si="7"/>
        <v>0</v>
      </c>
      <c r="S75" s="18" t="e">
        <f t="shared" si="8"/>
        <v>#DIV/0!</v>
      </c>
      <c r="T75" s="18" t="e">
        <f t="shared" si="8"/>
        <v>#DIV/0!</v>
      </c>
      <c r="U75" s="92"/>
      <c r="V75" s="94" t="e">
        <f>bdrate($D75:$D78,E75:E78,$L75:$L78,M75:M78)</f>
        <v>#VALUE!</v>
      </c>
      <c r="W75" s="95" t="e">
        <f>bdrate($D75:$D78,F75:F78,$L75:$L78,N75:N78)</f>
        <v>#VALUE!</v>
      </c>
      <c r="X75" s="95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 x14ac:dyDescent="0.2">
      <c r="A76" s="16"/>
      <c r="B76" s="16"/>
      <c r="C76" s="16">
        <v>27</v>
      </c>
      <c r="D76" s="17">
        <f>Reference!B178</f>
        <v>0</v>
      </c>
      <c r="E76" s="18">
        <f>Reference!C178</f>
        <v>0</v>
      </c>
      <c r="F76" s="18">
        <f>Reference!D178</f>
        <v>0</v>
      </c>
      <c r="G76" s="18">
        <f>Reference!E178</f>
        <v>0</v>
      </c>
      <c r="H76" s="18">
        <f>Reference!F178</f>
        <v>0</v>
      </c>
      <c r="I76" s="18">
        <f>Reference!G178</f>
        <v>0</v>
      </c>
      <c r="J76" s="19">
        <f t="shared" si="6"/>
        <v>0</v>
      </c>
      <c r="K76" s="26"/>
      <c r="L76" s="17">
        <f>Test!B178</f>
        <v>0</v>
      </c>
      <c r="M76" s="18">
        <f>Test!C178</f>
        <v>0</v>
      </c>
      <c r="N76" s="18">
        <f>Test!D178</f>
        <v>0</v>
      </c>
      <c r="O76" s="18">
        <f>Test!E178</f>
        <v>0</v>
      </c>
      <c r="P76" s="18">
        <f>Test!F178</f>
        <v>0</v>
      </c>
      <c r="Q76" s="18">
        <f>Test!G178</f>
        <v>0</v>
      </c>
      <c r="R76" s="19">
        <f t="shared" si="7"/>
        <v>0</v>
      </c>
      <c r="S76" s="18" t="e">
        <f t="shared" si="8"/>
        <v>#DIV/0!</v>
      </c>
      <c r="T76" s="18" t="e">
        <f t="shared" si="8"/>
        <v>#DIV/0!</v>
      </c>
      <c r="U76" s="92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Reference!B179</f>
        <v>0</v>
      </c>
      <c r="E77" s="18">
        <f>Reference!C179</f>
        <v>0</v>
      </c>
      <c r="F77" s="18">
        <f>Reference!D179</f>
        <v>0</v>
      </c>
      <c r="G77" s="18">
        <f>Reference!E179</f>
        <v>0</v>
      </c>
      <c r="H77" s="18">
        <f>Reference!F179</f>
        <v>0</v>
      </c>
      <c r="I77" s="18">
        <f>Reference!G179</f>
        <v>0</v>
      </c>
      <c r="J77" s="19">
        <f t="shared" si="6"/>
        <v>0</v>
      </c>
      <c r="K77" s="26"/>
      <c r="L77" s="17">
        <f>Test!B179</f>
        <v>0</v>
      </c>
      <c r="M77" s="18">
        <f>Test!C179</f>
        <v>0</v>
      </c>
      <c r="N77" s="18">
        <f>Test!D179</f>
        <v>0</v>
      </c>
      <c r="O77" s="18">
        <f>Test!E179</f>
        <v>0</v>
      </c>
      <c r="P77" s="18">
        <f>Test!F179</f>
        <v>0</v>
      </c>
      <c r="Q77" s="18">
        <f>Test!G179</f>
        <v>0</v>
      </c>
      <c r="R77" s="19">
        <f t="shared" si="7"/>
        <v>0</v>
      </c>
      <c r="S77" s="18" t="e">
        <f t="shared" si="8"/>
        <v>#DIV/0!</v>
      </c>
      <c r="T77" s="18" t="e">
        <f t="shared" si="8"/>
        <v>#DIV/0!</v>
      </c>
      <c r="U77" s="92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Reference!B180</f>
        <v>0</v>
      </c>
      <c r="E78" s="23">
        <f>Reference!C180</f>
        <v>0</v>
      </c>
      <c r="F78" s="23">
        <f>Reference!D180</f>
        <v>0</v>
      </c>
      <c r="G78" s="23">
        <f>Reference!E180</f>
        <v>0</v>
      </c>
      <c r="H78" s="23">
        <f>Reference!F180</f>
        <v>0</v>
      </c>
      <c r="I78" s="23">
        <f>Reference!G180</f>
        <v>0</v>
      </c>
      <c r="J78" s="24">
        <f t="shared" si="6"/>
        <v>0</v>
      </c>
      <c r="K78" s="26"/>
      <c r="L78" s="22">
        <f>Test!B180</f>
        <v>0</v>
      </c>
      <c r="M78" s="23">
        <f>Test!C180</f>
        <v>0</v>
      </c>
      <c r="N78" s="23">
        <f>Test!D180</f>
        <v>0</v>
      </c>
      <c r="O78" s="23">
        <f>Test!E180</f>
        <v>0</v>
      </c>
      <c r="P78" s="23">
        <f>Test!F180</f>
        <v>0</v>
      </c>
      <c r="Q78" s="23">
        <f>Test!G180</f>
        <v>0</v>
      </c>
      <c r="R78" s="24">
        <f t="shared" si="7"/>
        <v>0</v>
      </c>
      <c r="S78" s="23" t="e">
        <f t="shared" si="8"/>
        <v>#DIV/0!</v>
      </c>
      <c r="T78" s="23" t="e">
        <f t="shared" si="8"/>
        <v>#DIV/0!</v>
      </c>
      <c r="U78" s="93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/>
      <c r="E79" s="13"/>
      <c r="F79" s="13"/>
      <c r="G79" s="13"/>
      <c r="H79" s="13"/>
      <c r="I79" s="13"/>
      <c r="J79" s="14"/>
      <c r="L79" s="12"/>
      <c r="M79" s="13"/>
      <c r="N79" s="13"/>
      <c r="O79" s="13"/>
      <c r="P79" s="13"/>
      <c r="Q79" s="13"/>
      <c r="R79" s="14"/>
      <c r="S79" s="13"/>
      <c r="T79" s="13"/>
      <c r="U79" s="58"/>
      <c r="V79" s="82"/>
      <c r="W79" s="83"/>
      <c r="X79" s="84"/>
      <c r="Y79" s="41"/>
      <c r="Z79" s="46"/>
      <c r="AA79" s="47"/>
    </row>
    <row r="80" spans="1:27" x14ac:dyDescent="0.2">
      <c r="A80" s="16" t="s">
        <v>49</v>
      </c>
      <c r="B80" s="16"/>
      <c r="C80" s="16">
        <v>27</v>
      </c>
      <c r="D80" s="17"/>
      <c r="E80" s="18"/>
      <c r="F80" s="18"/>
      <c r="G80" s="18"/>
      <c r="H80" s="18"/>
      <c r="I80" s="18"/>
      <c r="J80" s="19"/>
      <c r="L80" s="17"/>
      <c r="M80" s="18"/>
      <c r="N80" s="18"/>
      <c r="O80" s="18"/>
      <c r="P80" s="18"/>
      <c r="Q80" s="18"/>
      <c r="R80" s="19"/>
      <c r="S80" s="18"/>
      <c r="T80" s="18"/>
      <c r="U80" s="59"/>
      <c r="V80" s="85"/>
      <c r="W80" s="86"/>
      <c r="X80" s="87"/>
      <c r="Y80" s="42"/>
      <c r="Z80" s="25"/>
      <c r="AA80" s="54"/>
    </row>
    <row r="81" spans="1:27" x14ac:dyDescent="0.2">
      <c r="A81" s="16"/>
      <c r="B81" s="16"/>
      <c r="C81" s="16">
        <v>32</v>
      </c>
      <c r="D81" s="17"/>
      <c r="E81" s="18"/>
      <c r="F81" s="18"/>
      <c r="G81" s="18"/>
      <c r="H81" s="18"/>
      <c r="I81" s="18"/>
      <c r="J81" s="19"/>
      <c r="L81" s="17"/>
      <c r="M81" s="18"/>
      <c r="N81" s="18"/>
      <c r="O81" s="18"/>
      <c r="P81" s="18"/>
      <c r="Q81" s="18"/>
      <c r="R81" s="19"/>
      <c r="S81" s="18"/>
      <c r="T81" s="18"/>
      <c r="U81" s="59"/>
      <c r="V81" s="85"/>
      <c r="W81" s="86"/>
      <c r="X81" s="87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/>
      <c r="E82" s="23"/>
      <c r="F82" s="23"/>
      <c r="G82" s="23"/>
      <c r="H82" s="23"/>
      <c r="I82" s="23"/>
      <c r="J82" s="24"/>
      <c r="L82" s="22"/>
      <c r="M82" s="23"/>
      <c r="N82" s="23"/>
      <c r="O82" s="23"/>
      <c r="P82" s="23"/>
      <c r="Q82" s="23"/>
      <c r="R82" s="24"/>
      <c r="S82" s="18"/>
      <c r="T82" s="18"/>
      <c r="U82" s="59"/>
      <c r="V82" s="88"/>
      <c r="W82" s="89"/>
      <c r="X82" s="90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/>
      <c r="E83" s="13"/>
      <c r="F83" s="13"/>
      <c r="G83" s="13"/>
      <c r="H83" s="13"/>
      <c r="I83" s="13"/>
      <c r="J83" s="14"/>
      <c r="L83" s="12"/>
      <c r="M83" s="13"/>
      <c r="N83" s="13"/>
      <c r="O83" s="13"/>
      <c r="P83" s="13"/>
      <c r="Q83" s="13"/>
      <c r="R83" s="14"/>
      <c r="S83" s="18"/>
      <c r="T83" s="18"/>
      <c r="U83" s="59"/>
      <c r="V83" s="82"/>
      <c r="W83" s="83"/>
      <c r="X83" s="83"/>
      <c r="Y83" s="44"/>
      <c r="Z83" s="48"/>
      <c r="AA83" s="49"/>
    </row>
    <row r="84" spans="1:27" x14ac:dyDescent="0.2">
      <c r="A84" s="16"/>
      <c r="B84" s="16"/>
      <c r="C84" s="16">
        <v>27</v>
      </c>
      <c r="D84" s="17"/>
      <c r="E84" s="18"/>
      <c r="F84" s="18"/>
      <c r="G84" s="18"/>
      <c r="H84" s="18"/>
      <c r="I84" s="18"/>
      <c r="J84" s="19"/>
      <c r="L84" s="17"/>
      <c r="M84" s="18"/>
      <c r="N84" s="18"/>
      <c r="O84" s="18"/>
      <c r="P84" s="18"/>
      <c r="Q84" s="18"/>
      <c r="R84" s="19"/>
      <c r="S84" s="18"/>
      <c r="T84" s="18"/>
      <c r="U84" s="59"/>
      <c r="V84" s="85"/>
      <c r="W84" s="86"/>
      <c r="X84" s="86"/>
      <c r="Y84" s="42"/>
      <c r="Z84" s="25"/>
      <c r="AA84" s="54"/>
    </row>
    <row r="85" spans="1:27" x14ac:dyDescent="0.2">
      <c r="A85" s="16"/>
      <c r="B85" s="16"/>
      <c r="C85" s="16">
        <v>32</v>
      </c>
      <c r="D85" s="17"/>
      <c r="E85" s="18"/>
      <c r="F85" s="18"/>
      <c r="G85" s="18"/>
      <c r="H85" s="18"/>
      <c r="I85" s="18"/>
      <c r="J85" s="19"/>
      <c r="L85" s="17"/>
      <c r="M85" s="18"/>
      <c r="N85" s="18"/>
      <c r="O85" s="18"/>
      <c r="P85" s="18"/>
      <c r="Q85" s="18"/>
      <c r="R85" s="19"/>
      <c r="S85" s="18"/>
      <c r="T85" s="18"/>
      <c r="U85" s="59"/>
      <c r="V85" s="85"/>
      <c r="W85" s="86"/>
      <c r="X85" s="86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/>
      <c r="E86" s="23"/>
      <c r="F86" s="23"/>
      <c r="G86" s="23"/>
      <c r="H86" s="23"/>
      <c r="I86" s="23"/>
      <c r="J86" s="24"/>
      <c r="L86" s="22"/>
      <c r="M86" s="23"/>
      <c r="N86" s="23"/>
      <c r="O86" s="23"/>
      <c r="P86" s="23"/>
      <c r="Q86" s="23"/>
      <c r="R86" s="24"/>
      <c r="S86" s="18"/>
      <c r="T86" s="18"/>
      <c r="U86" s="59"/>
      <c r="V86" s="88"/>
      <c r="W86" s="89"/>
      <c r="X86" s="89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/>
      <c r="E87" s="13"/>
      <c r="F87" s="13"/>
      <c r="G87" s="13"/>
      <c r="H87" s="13"/>
      <c r="I87" s="13"/>
      <c r="J87" s="14"/>
      <c r="L87" s="12"/>
      <c r="M87" s="13"/>
      <c r="N87" s="13"/>
      <c r="O87" s="13"/>
      <c r="P87" s="13"/>
      <c r="Q87" s="13"/>
      <c r="R87" s="14"/>
      <c r="S87" s="18"/>
      <c r="T87" s="18"/>
      <c r="U87" s="59"/>
      <c r="V87" s="82"/>
      <c r="W87" s="83"/>
      <c r="X87" s="83"/>
      <c r="Y87" s="44"/>
      <c r="Z87" s="48"/>
      <c r="AA87" s="49"/>
    </row>
    <row r="88" spans="1:27" x14ac:dyDescent="0.2">
      <c r="A88" s="16"/>
      <c r="B88" s="16"/>
      <c r="C88" s="16">
        <v>27</v>
      </c>
      <c r="D88" s="17"/>
      <c r="E88" s="18"/>
      <c r="F88" s="18"/>
      <c r="G88" s="18"/>
      <c r="H88" s="18"/>
      <c r="I88" s="18"/>
      <c r="J88" s="19"/>
      <c r="L88" s="17"/>
      <c r="M88" s="18"/>
      <c r="N88" s="18"/>
      <c r="O88" s="18"/>
      <c r="P88" s="18"/>
      <c r="Q88" s="18"/>
      <c r="R88" s="19"/>
      <c r="S88" s="18"/>
      <c r="T88" s="18"/>
      <c r="U88" s="59"/>
      <c r="V88" s="85"/>
      <c r="W88" s="86"/>
      <c r="X88" s="86"/>
      <c r="Y88" s="42"/>
      <c r="Z88" s="25"/>
      <c r="AA88" s="54"/>
    </row>
    <row r="89" spans="1:27" x14ac:dyDescent="0.2">
      <c r="A89" s="16"/>
      <c r="B89" s="16"/>
      <c r="C89" s="16">
        <v>32</v>
      </c>
      <c r="D89" s="17"/>
      <c r="E89" s="18"/>
      <c r="F89" s="18"/>
      <c r="G89" s="18"/>
      <c r="H89" s="18"/>
      <c r="I89" s="18"/>
      <c r="J89" s="19"/>
      <c r="L89" s="17"/>
      <c r="M89" s="18"/>
      <c r="N89" s="18"/>
      <c r="O89" s="18"/>
      <c r="P89" s="18"/>
      <c r="Q89" s="18"/>
      <c r="R89" s="19"/>
      <c r="S89" s="18"/>
      <c r="T89" s="18"/>
      <c r="U89" s="59"/>
      <c r="V89" s="85"/>
      <c r="W89" s="86"/>
      <c r="X89" s="86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/>
      <c r="E90" s="23"/>
      <c r="F90" s="23"/>
      <c r="G90" s="23"/>
      <c r="H90" s="23"/>
      <c r="I90" s="23"/>
      <c r="J90" s="24"/>
      <c r="L90" s="22"/>
      <c r="M90" s="23"/>
      <c r="N90" s="23"/>
      <c r="O90" s="23"/>
      <c r="P90" s="23"/>
      <c r="Q90" s="23"/>
      <c r="R90" s="24"/>
      <c r="S90" s="18"/>
      <c r="T90" s="18"/>
      <c r="U90" s="59"/>
      <c r="V90" s="88"/>
      <c r="W90" s="89"/>
      <c r="X90" s="89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Reference!B193</f>
        <v>0</v>
      </c>
      <c r="E91" s="13">
        <f>Reference!C193</f>
        <v>0</v>
      </c>
      <c r="F91" s="13">
        <f>Reference!D193</f>
        <v>0</v>
      </c>
      <c r="G91" s="13">
        <f>Reference!E193</f>
        <v>0</v>
      </c>
      <c r="H91" s="13">
        <f>Reference!F193</f>
        <v>0</v>
      </c>
      <c r="I91" s="13">
        <f>Reference!G193</f>
        <v>0</v>
      </c>
      <c r="J91" s="14">
        <f t="shared" si="6"/>
        <v>0</v>
      </c>
      <c r="L91" s="12">
        <f>Test!B193</f>
        <v>0</v>
      </c>
      <c r="M91" s="13">
        <f>Test!C193</f>
        <v>0</v>
      </c>
      <c r="N91" s="13">
        <f>Test!D193</f>
        <v>0</v>
      </c>
      <c r="O91" s="13">
        <f>Test!E193</f>
        <v>0</v>
      </c>
      <c r="P91" s="13">
        <f>Test!F193</f>
        <v>0</v>
      </c>
      <c r="Q91" s="13">
        <f>Test!G193</f>
        <v>0</v>
      </c>
      <c r="R91" s="14">
        <f t="shared" si="7"/>
        <v>0</v>
      </c>
      <c r="S91" s="13" t="e">
        <f t="shared" ref="S91:T106" si="9">P91/H91</f>
        <v>#DIV/0!</v>
      </c>
      <c r="T91" s="13" t="e">
        <f t="shared" si="9"/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 x14ac:dyDescent="0.2">
      <c r="A92" s="35"/>
      <c r="B92" s="35"/>
      <c r="C92" s="35">
        <v>27</v>
      </c>
      <c r="D92" s="17">
        <f>Reference!B194</f>
        <v>0</v>
      </c>
      <c r="E92" s="18">
        <f>Reference!C194</f>
        <v>0</v>
      </c>
      <c r="F92" s="18">
        <f>Reference!D194</f>
        <v>0</v>
      </c>
      <c r="G92" s="18">
        <f>Reference!E194</f>
        <v>0</v>
      </c>
      <c r="H92" s="18">
        <f>Reference!F194</f>
        <v>0</v>
      </c>
      <c r="I92" s="18">
        <f>Reference!G194</f>
        <v>0</v>
      </c>
      <c r="J92" s="19">
        <f t="shared" si="6"/>
        <v>0</v>
      </c>
      <c r="L92" s="17">
        <f>Test!B194</f>
        <v>0</v>
      </c>
      <c r="M92" s="18">
        <f>Test!C194</f>
        <v>0</v>
      </c>
      <c r="N92" s="18">
        <f>Test!D194</f>
        <v>0</v>
      </c>
      <c r="O92" s="18">
        <f>Test!E194</f>
        <v>0</v>
      </c>
      <c r="P92" s="18">
        <f>Test!F194</f>
        <v>0</v>
      </c>
      <c r="Q92" s="18">
        <f>Test!G194</f>
        <v>0</v>
      </c>
      <c r="R92" s="19">
        <f t="shared" si="7"/>
        <v>0</v>
      </c>
      <c r="S92" s="18" t="e">
        <f t="shared" si="9"/>
        <v>#DIV/0!</v>
      </c>
      <c r="T92" s="18" t="e">
        <f t="shared" si="9"/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Reference!B195</f>
        <v>0</v>
      </c>
      <c r="E93" s="18">
        <f>Reference!C195</f>
        <v>0</v>
      </c>
      <c r="F93" s="18">
        <f>Reference!D195</f>
        <v>0</v>
      </c>
      <c r="G93" s="18">
        <f>Reference!E195</f>
        <v>0</v>
      </c>
      <c r="H93" s="18">
        <f>Reference!F195</f>
        <v>0</v>
      </c>
      <c r="I93" s="18">
        <f>Reference!G195</f>
        <v>0</v>
      </c>
      <c r="J93" s="19">
        <f t="shared" si="6"/>
        <v>0</v>
      </c>
      <c r="L93" s="17">
        <f>Test!B195</f>
        <v>0</v>
      </c>
      <c r="M93" s="18">
        <f>Test!C195</f>
        <v>0</v>
      </c>
      <c r="N93" s="18">
        <f>Test!D195</f>
        <v>0</v>
      </c>
      <c r="O93" s="18">
        <f>Test!E195</f>
        <v>0</v>
      </c>
      <c r="P93" s="18">
        <f>Test!F195</f>
        <v>0</v>
      </c>
      <c r="Q93" s="18">
        <f>Test!G195</f>
        <v>0</v>
      </c>
      <c r="R93" s="19">
        <f t="shared" si="7"/>
        <v>0</v>
      </c>
      <c r="S93" s="18" t="e">
        <f t="shared" si="9"/>
        <v>#DIV/0!</v>
      </c>
      <c r="T93" s="18" t="e">
        <f t="shared" si="9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Reference!B196</f>
        <v>0</v>
      </c>
      <c r="E94" s="23">
        <f>Reference!C196</f>
        <v>0</v>
      </c>
      <c r="F94" s="23">
        <f>Reference!D196</f>
        <v>0</v>
      </c>
      <c r="G94" s="23">
        <f>Reference!E196</f>
        <v>0</v>
      </c>
      <c r="H94" s="23">
        <f>Reference!F196</f>
        <v>0</v>
      </c>
      <c r="I94" s="23">
        <f>Reference!G196</f>
        <v>0</v>
      </c>
      <c r="J94" s="24">
        <f t="shared" si="6"/>
        <v>0</v>
      </c>
      <c r="L94" s="22">
        <f>Test!B196</f>
        <v>0</v>
      </c>
      <c r="M94" s="23">
        <f>Test!C196</f>
        <v>0</v>
      </c>
      <c r="N94" s="23">
        <f>Test!D196</f>
        <v>0</v>
      </c>
      <c r="O94" s="23">
        <f>Test!E196</f>
        <v>0</v>
      </c>
      <c r="P94" s="23">
        <f>Test!F196</f>
        <v>0</v>
      </c>
      <c r="Q94" s="23">
        <f>Test!G196</f>
        <v>0</v>
      </c>
      <c r="R94" s="24">
        <f t="shared" si="7"/>
        <v>0</v>
      </c>
      <c r="S94" s="18" t="e">
        <f t="shared" si="9"/>
        <v>#DIV/0!</v>
      </c>
      <c r="T94" s="18" t="e">
        <f t="shared" si="9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Reference!B197</f>
        <v>0</v>
      </c>
      <c r="E95" s="13">
        <f>Reference!C197</f>
        <v>0</v>
      </c>
      <c r="F95" s="13">
        <f>Reference!D197</f>
        <v>0</v>
      </c>
      <c r="G95" s="13">
        <f>Reference!E197</f>
        <v>0</v>
      </c>
      <c r="H95" s="13">
        <f>Reference!F197</f>
        <v>0</v>
      </c>
      <c r="I95" s="13">
        <f>Reference!G197</f>
        <v>0</v>
      </c>
      <c r="J95" s="14">
        <f t="shared" si="6"/>
        <v>0</v>
      </c>
      <c r="L95" s="12">
        <f>Test!B197</f>
        <v>0</v>
      </c>
      <c r="M95" s="13">
        <f>Test!C197</f>
        <v>0</v>
      </c>
      <c r="N95" s="13">
        <f>Test!D197</f>
        <v>0</v>
      </c>
      <c r="O95" s="13">
        <f>Test!E197</f>
        <v>0</v>
      </c>
      <c r="P95" s="13">
        <f>Test!F197</f>
        <v>0</v>
      </c>
      <c r="Q95" s="13">
        <f>Test!G197</f>
        <v>0</v>
      </c>
      <c r="R95" s="14">
        <f t="shared" si="7"/>
        <v>0</v>
      </c>
      <c r="S95" s="18" t="e">
        <f t="shared" si="9"/>
        <v>#DIV/0!</v>
      </c>
      <c r="T95" s="18" t="e">
        <f t="shared" si="9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 x14ac:dyDescent="0.2">
      <c r="A96" s="35"/>
      <c r="B96" s="35"/>
      <c r="C96" s="35">
        <v>27</v>
      </c>
      <c r="D96" s="17">
        <f>Reference!B198</f>
        <v>0</v>
      </c>
      <c r="E96" s="18">
        <f>Reference!C198</f>
        <v>0</v>
      </c>
      <c r="F96" s="18">
        <f>Reference!D198</f>
        <v>0</v>
      </c>
      <c r="G96" s="18">
        <f>Reference!E198</f>
        <v>0</v>
      </c>
      <c r="H96" s="18">
        <f>Reference!F198</f>
        <v>0</v>
      </c>
      <c r="I96" s="18">
        <f>Reference!G198</f>
        <v>0</v>
      </c>
      <c r="J96" s="19">
        <f t="shared" si="6"/>
        <v>0</v>
      </c>
      <c r="L96" s="17">
        <f>Test!B198</f>
        <v>0</v>
      </c>
      <c r="M96" s="18">
        <f>Test!C198</f>
        <v>0</v>
      </c>
      <c r="N96" s="18">
        <f>Test!D198</f>
        <v>0</v>
      </c>
      <c r="O96" s="18">
        <f>Test!E198</f>
        <v>0</v>
      </c>
      <c r="P96" s="18">
        <f>Test!F198</f>
        <v>0</v>
      </c>
      <c r="Q96" s="18">
        <f>Test!G198</f>
        <v>0</v>
      </c>
      <c r="R96" s="19">
        <f t="shared" si="7"/>
        <v>0</v>
      </c>
      <c r="S96" s="18" t="e">
        <f t="shared" si="9"/>
        <v>#DIV/0!</v>
      </c>
      <c r="T96" s="18" t="e">
        <f t="shared" si="9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Reference!B199</f>
        <v>0</v>
      </c>
      <c r="E97" s="18">
        <f>Reference!C199</f>
        <v>0</v>
      </c>
      <c r="F97" s="18">
        <f>Reference!D199</f>
        <v>0</v>
      </c>
      <c r="G97" s="18">
        <f>Reference!E199</f>
        <v>0</v>
      </c>
      <c r="H97" s="18">
        <f>Reference!F199</f>
        <v>0</v>
      </c>
      <c r="I97" s="18">
        <f>Reference!G199</f>
        <v>0</v>
      </c>
      <c r="J97" s="19">
        <f t="shared" si="6"/>
        <v>0</v>
      </c>
      <c r="L97" s="17">
        <f>Test!B199</f>
        <v>0</v>
      </c>
      <c r="M97" s="18">
        <f>Test!C199</f>
        <v>0</v>
      </c>
      <c r="N97" s="18">
        <f>Test!D199</f>
        <v>0</v>
      </c>
      <c r="O97" s="18">
        <f>Test!E199</f>
        <v>0</v>
      </c>
      <c r="P97" s="18">
        <f>Test!F199</f>
        <v>0</v>
      </c>
      <c r="Q97" s="18">
        <f>Test!G199</f>
        <v>0</v>
      </c>
      <c r="R97" s="19">
        <f t="shared" si="7"/>
        <v>0</v>
      </c>
      <c r="S97" s="18" t="e">
        <f t="shared" si="9"/>
        <v>#DIV/0!</v>
      </c>
      <c r="T97" s="18" t="e">
        <f t="shared" si="9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Reference!B200</f>
        <v>0</v>
      </c>
      <c r="E98" s="23">
        <f>Reference!C200</f>
        <v>0</v>
      </c>
      <c r="F98" s="23">
        <f>Reference!D200</f>
        <v>0</v>
      </c>
      <c r="G98" s="23">
        <f>Reference!E200</f>
        <v>0</v>
      </c>
      <c r="H98" s="23">
        <f>Reference!F200</f>
        <v>0</v>
      </c>
      <c r="I98" s="23">
        <f>Reference!G200</f>
        <v>0</v>
      </c>
      <c r="J98" s="24">
        <f t="shared" si="6"/>
        <v>0</v>
      </c>
      <c r="L98" s="22">
        <f>Test!B200</f>
        <v>0</v>
      </c>
      <c r="M98" s="23">
        <f>Test!C200</f>
        <v>0</v>
      </c>
      <c r="N98" s="23">
        <f>Test!D200</f>
        <v>0</v>
      </c>
      <c r="O98" s="23">
        <f>Test!E200</f>
        <v>0</v>
      </c>
      <c r="P98" s="23">
        <f>Test!F200</f>
        <v>0</v>
      </c>
      <c r="Q98" s="23">
        <f>Test!G200</f>
        <v>0</v>
      </c>
      <c r="R98" s="24">
        <f t="shared" si="7"/>
        <v>0</v>
      </c>
      <c r="S98" s="18" t="e">
        <f t="shared" si="9"/>
        <v>#DIV/0!</v>
      </c>
      <c r="T98" s="18" t="e">
        <f t="shared" si="9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Reference!B201</f>
        <v>0</v>
      </c>
      <c r="E99" s="13">
        <f>Reference!C201</f>
        <v>0</v>
      </c>
      <c r="F99" s="13">
        <f>Reference!D201</f>
        <v>0</v>
      </c>
      <c r="G99" s="13">
        <f>Reference!E201</f>
        <v>0</v>
      </c>
      <c r="H99" s="13">
        <f>Reference!F201</f>
        <v>0</v>
      </c>
      <c r="I99" s="13">
        <f>Reference!G201</f>
        <v>0</v>
      </c>
      <c r="J99" s="14">
        <f t="shared" si="6"/>
        <v>0</v>
      </c>
      <c r="L99" s="12">
        <f>Test!B201</f>
        <v>0</v>
      </c>
      <c r="M99" s="13">
        <f>Test!C201</f>
        <v>0</v>
      </c>
      <c r="N99" s="13">
        <f>Test!D201</f>
        <v>0</v>
      </c>
      <c r="O99" s="13">
        <f>Test!E201</f>
        <v>0</v>
      </c>
      <c r="P99" s="13">
        <f>Test!F201</f>
        <v>0</v>
      </c>
      <c r="Q99" s="13">
        <f>Test!G201</f>
        <v>0</v>
      </c>
      <c r="R99" s="14">
        <f t="shared" si="7"/>
        <v>0</v>
      </c>
      <c r="S99" s="18" t="e">
        <f t="shared" si="9"/>
        <v>#DIV/0!</v>
      </c>
      <c r="T99" s="18" t="e">
        <f t="shared" si="9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 x14ac:dyDescent="0.2">
      <c r="A100" s="35"/>
      <c r="B100" s="35"/>
      <c r="C100" s="35">
        <v>27</v>
      </c>
      <c r="D100" s="17">
        <f>Reference!B202</f>
        <v>0</v>
      </c>
      <c r="E100" s="18">
        <f>Reference!C202</f>
        <v>0</v>
      </c>
      <c r="F100" s="18">
        <f>Reference!D202</f>
        <v>0</v>
      </c>
      <c r="G100" s="18">
        <f>Reference!E202</f>
        <v>0</v>
      </c>
      <c r="H100" s="18">
        <f>Reference!F202</f>
        <v>0</v>
      </c>
      <c r="I100" s="18">
        <f>Reference!G202</f>
        <v>0</v>
      </c>
      <c r="J100" s="19">
        <f t="shared" si="6"/>
        <v>0</v>
      </c>
      <c r="L100" s="17">
        <f>Test!B202</f>
        <v>0</v>
      </c>
      <c r="M100" s="18">
        <f>Test!C202</f>
        <v>0</v>
      </c>
      <c r="N100" s="18">
        <f>Test!D202</f>
        <v>0</v>
      </c>
      <c r="O100" s="18">
        <f>Test!E202</f>
        <v>0</v>
      </c>
      <c r="P100" s="18">
        <f>Test!F202</f>
        <v>0</v>
      </c>
      <c r="Q100" s="18">
        <f>Test!G202</f>
        <v>0</v>
      </c>
      <c r="R100" s="19">
        <f t="shared" si="7"/>
        <v>0</v>
      </c>
      <c r="S100" s="18" t="e">
        <f t="shared" si="9"/>
        <v>#DIV/0!</v>
      </c>
      <c r="T100" s="18" t="e">
        <f t="shared" si="9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Reference!B203</f>
        <v>0</v>
      </c>
      <c r="E101" s="18">
        <f>Reference!C203</f>
        <v>0</v>
      </c>
      <c r="F101" s="18">
        <f>Reference!D203</f>
        <v>0</v>
      </c>
      <c r="G101" s="18">
        <f>Reference!E203</f>
        <v>0</v>
      </c>
      <c r="H101" s="18">
        <f>Reference!F203</f>
        <v>0</v>
      </c>
      <c r="I101" s="18">
        <f>Reference!G203</f>
        <v>0</v>
      </c>
      <c r="J101" s="19">
        <f t="shared" si="6"/>
        <v>0</v>
      </c>
      <c r="L101" s="17">
        <f>Test!B203</f>
        <v>0</v>
      </c>
      <c r="M101" s="18">
        <f>Test!C203</f>
        <v>0</v>
      </c>
      <c r="N101" s="18">
        <f>Test!D203</f>
        <v>0</v>
      </c>
      <c r="O101" s="18">
        <f>Test!E203</f>
        <v>0</v>
      </c>
      <c r="P101" s="18">
        <f>Test!F203</f>
        <v>0</v>
      </c>
      <c r="Q101" s="18">
        <f>Test!G203</f>
        <v>0</v>
      </c>
      <c r="R101" s="19">
        <f t="shared" si="7"/>
        <v>0</v>
      </c>
      <c r="S101" s="18" t="e">
        <f t="shared" si="9"/>
        <v>#DIV/0!</v>
      </c>
      <c r="T101" s="18" t="e">
        <f t="shared" si="9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Reference!B204</f>
        <v>0</v>
      </c>
      <c r="E102" s="23">
        <f>Reference!C204</f>
        <v>0</v>
      </c>
      <c r="F102" s="23">
        <f>Reference!D204</f>
        <v>0</v>
      </c>
      <c r="G102" s="23">
        <f>Reference!E204</f>
        <v>0</v>
      </c>
      <c r="H102" s="23">
        <f>Reference!F204</f>
        <v>0</v>
      </c>
      <c r="I102" s="23">
        <f>Reference!G204</f>
        <v>0</v>
      </c>
      <c r="J102" s="24">
        <f t="shared" si="6"/>
        <v>0</v>
      </c>
      <c r="L102" s="22">
        <f>Test!B204</f>
        <v>0</v>
      </c>
      <c r="M102" s="23">
        <f>Test!C204</f>
        <v>0</v>
      </c>
      <c r="N102" s="23">
        <f>Test!D204</f>
        <v>0</v>
      </c>
      <c r="O102" s="23">
        <f>Test!E204</f>
        <v>0</v>
      </c>
      <c r="P102" s="23">
        <f>Test!F204</f>
        <v>0</v>
      </c>
      <c r="Q102" s="23">
        <f>Test!G204</f>
        <v>0</v>
      </c>
      <c r="R102" s="24">
        <f t="shared" si="7"/>
        <v>0</v>
      </c>
      <c r="S102" s="18" t="e">
        <f t="shared" si="9"/>
        <v>#DIV/0!</v>
      </c>
      <c r="T102" s="18" t="e">
        <f t="shared" si="9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Reference!B205</f>
        <v>0</v>
      </c>
      <c r="E103" s="13">
        <f>Reference!C205</f>
        <v>0</v>
      </c>
      <c r="F103" s="13">
        <f>Reference!D205</f>
        <v>0</v>
      </c>
      <c r="G103" s="13">
        <f>Reference!E205</f>
        <v>0</v>
      </c>
      <c r="H103" s="13">
        <f>Reference!F205</f>
        <v>0</v>
      </c>
      <c r="I103" s="13">
        <f>Reference!G205</f>
        <v>0</v>
      </c>
      <c r="J103" s="14">
        <f t="shared" si="6"/>
        <v>0</v>
      </c>
      <c r="L103" s="12">
        <f>Test!B205</f>
        <v>0</v>
      </c>
      <c r="M103" s="13">
        <f>Test!C205</f>
        <v>0</v>
      </c>
      <c r="N103" s="13">
        <f>Test!D205</f>
        <v>0</v>
      </c>
      <c r="O103" s="13">
        <f>Test!E205</f>
        <v>0</v>
      </c>
      <c r="P103" s="13">
        <f>Test!F205</f>
        <v>0</v>
      </c>
      <c r="Q103" s="13">
        <f>Test!G205</f>
        <v>0</v>
      </c>
      <c r="R103" s="14">
        <f t="shared" si="7"/>
        <v>0</v>
      </c>
      <c r="S103" s="18" t="e">
        <f t="shared" si="9"/>
        <v>#DIV/0!</v>
      </c>
      <c r="T103" s="18" t="e">
        <f t="shared" si="9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 x14ac:dyDescent="0.2">
      <c r="A104" s="35"/>
      <c r="B104" s="35"/>
      <c r="C104" s="35">
        <v>27</v>
      </c>
      <c r="D104" s="17">
        <f>Reference!B206</f>
        <v>0</v>
      </c>
      <c r="E104" s="18">
        <f>Reference!C206</f>
        <v>0</v>
      </c>
      <c r="F104" s="18">
        <f>Reference!D206</f>
        <v>0</v>
      </c>
      <c r="G104" s="18">
        <f>Reference!E206</f>
        <v>0</v>
      </c>
      <c r="H104" s="18">
        <f>Reference!F206</f>
        <v>0</v>
      </c>
      <c r="I104" s="18">
        <f>Reference!G206</f>
        <v>0</v>
      </c>
      <c r="J104" s="19">
        <f t="shared" si="6"/>
        <v>0</v>
      </c>
      <c r="L104" s="17">
        <f>Test!B206</f>
        <v>0</v>
      </c>
      <c r="M104" s="18">
        <f>Test!C206</f>
        <v>0</v>
      </c>
      <c r="N104" s="18">
        <f>Test!D206</f>
        <v>0</v>
      </c>
      <c r="O104" s="18">
        <f>Test!E206</f>
        <v>0</v>
      </c>
      <c r="P104" s="18">
        <f>Test!F206</f>
        <v>0</v>
      </c>
      <c r="Q104" s="18">
        <f>Test!G206</f>
        <v>0</v>
      </c>
      <c r="R104" s="19">
        <f t="shared" si="7"/>
        <v>0</v>
      </c>
      <c r="S104" s="18" t="e">
        <f t="shared" si="9"/>
        <v>#DIV/0!</v>
      </c>
      <c r="T104" s="18" t="e">
        <f t="shared" si="9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Reference!B207</f>
        <v>0</v>
      </c>
      <c r="E105" s="18">
        <f>Reference!C207</f>
        <v>0</v>
      </c>
      <c r="F105" s="18">
        <f>Reference!D207</f>
        <v>0</v>
      </c>
      <c r="G105" s="18">
        <f>Reference!E207</f>
        <v>0</v>
      </c>
      <c r="H105" s="18">
        <f>Reference!F207</f>
        <v>0</v>
      </c>
      <c r="I105" s="18">
        <f>Reference!G207</f>
        <v>0</v>
      </c>
      <c r="J105" s="19">
        <f t="shared" si="6"/>
        <v>0</v>
      </c>
      <c r="L105" s="17">
        <f>Test!B207</f>
        <v>0</v>
      </c>
      <c r="M105" s="18">
        <f>Test!C207</f>
        <v>0</v>
      </c>
      <c r="N105" s="18">
        <f>Test!D207</f>
        <v>0</v>
      </c>
      <c r="O105" s="18">
        <f>Test!E207</f>
        <v>0</v>
      </c>
      <c r="P105" s="18">
        <f>Test!F207</f>
        <v>0</v>
      </c>
      <c r="Q105" s="18">
        <f>Test!G207</f>
        <v>0</v>
      </c>
      <c r="R105" s="19">
        <f t="shared" si="7"/>
        <v>0</v>
      </c>
      <c r="S105" s="18" t="e">
        <f t="shared" si="9"/>
        <v>#DIV/0!</v>
      </c>
      <c r="T105" s="18" t="e">
        <f t="shared" si="9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Reference!B208</f>
        <v>0</v>
      </c>
      <c r="E106" s="23">
        <f>Reference!C208</f>
        <v>0</v>
      </c>
      <c r="F106" s="23">
        <f>Reference!D208</f>
        <v>0</v>
      </c>
      <c r="G106" s="23">
        <f>Reference!E208</f>
        <v>0</v>
      </c>
      <c r="H106" s="23">
        <f>Reference!F208</f>
        <v>0</v>
      </c>
      <c r="I106" s="23">
        <f>Reference!G208</f>
        <v>0</v>
      </c>
      <c r="J106" s="24">
        <f t="shared" si="6"/>
        <v>0</v>
      </c>
      <c r="L106" s="22">
        <f>Test!B208</f>
        <v>0</v>
      </c>
      <c r="M106" s="23">
        <f>Test!C208</f>
        <v>0</v>
      </c>
      <c r="N106" s="23">
        <f>Test!D208</f>
        <v>0</v>
      </c>
      <c r="O106" s="23">
        <f>Test!E208</f>
        <v>0</v>
      </c>
      <c r="P106" s="23">
        <f>Test!F208</f>
        <v>0</v>
      </c>
      <c r="Q106" s="23">
        <f>Test!G208</f>
        <v>0</v>
      </c>
      <c r="R106" s="24">
        <f t="shared" si="7"/>
        <v>0</v>
      </c>
      <c r="S106" s="23" t="e">
        <f t="shared" si="9"/>
        <v>#DIV/0!</v>
      </c>
      <c r="T106" s="23" t="e">
        <f t="shared" si="9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 t="e">
        <f>GEOMEAN(I3:I14)</f>
        <v>#NUM!</v>
      </c>
      <c r="J107" s="15" t="e">
        <f>GEOMEAN(J3:J14)</f>
        <v>#NUM!</v>
      </c>
      <c r="Q107" s="15" t="e">
        <f>GEOMEAN(Q3:Q14)</f>
        <v>#NUM!</v>
      </c>
      <c r="R107" s="15" t="e">
        <f>GEOMEAN(R3:R14)</f>
        <v>#NUM!</v>
      </c>
      <c r="S107" s="15" t="e">
        <f>GEOMEAN(S3:S14)</f>
        <v>#DIV/0!</v>
      </c>
      <c r="T107" s="15" t="e">
        <f>GEOMEAN(T3:T14)</f>
        <v>#DIV/0!</v>
      </c>
      <c r="V107" s="41" t="e">
        <f t="shared" ref="V107:AA107" si="10">AVERAGE(V3:V14)</f>
        <v>#VALUE!</v>
      </c>
      <c r="W107" s="46" t="e">
        <f t="shared" si="10"/>
        <v>#VALUE!</v>
      </c>
      <c r="X107" s="46" t="e">
        <f t="shared" si="10"/>
        <v>#VALUE!</v>
      </c>
      <c r="Y107" s="41" t="e">
        <f t="shared" si="10"/>
        <v>#VALUE!</v>
      </c>
      <c r="Z107" s="46" t="e">
        <f t="shared" si="10"/>
        <v>#VALUE!</v>
      </c>
      <c r="AA107" s="47" t="e">
        <f t="shared" si="10"/>
        <v>#VALUE!</v>
      </c>
    </row>
    <row r="108" spans="1:27" x14ac:dyDescent="0.2">
      <c r="B108" s="1" t="s">
        <v>70</v>
      </c>
      <c r="I108" s="15" t="e">
        <f>GEOMEAN(I15:I26)</f>
        <v>#NUM!</v>
      </c>
      <c r="J108" s="15" t="e">
        <f>GEOMEAN(J15:J26)</f>
        <v>#NUM!</v>
      </c>
      <c r="Q108" s="15" t="e">
        <f>GEOMEAN(Q15:Q26)</f>
        <v>#NUM!</v>
      </c>
      <c r="R108" s="15" t="e">
        <f>GEOMEAN(R15:R26)</f>
        <v>#NUM!</v>
      </c>
      <c r="S108" s="15" t="e">
        <f>GEOMEAN(S15:S26)</f>
        <v>#DIV/0!</v>
      </c>
      <c r="T108" s="15" t="e">
        <f>GEOMEAN(T15:T26)</f>
        <v>#DIV/0!</v>
      </c>
      <c r="V108" s="44" t="e">
        <f t="shared" ref="V108:AA108" si="11">AVERAGE(V15:V26)</f>
        <v>#VALUE!</v>
      </c>
      <c r="W108" s="48" t="e">
        <f t="shared" si="11"/>
        <v>#VALUE!</v>
      </c>
      <c r="X108" s="48" t="e">
        <f t="shared" si="11"/>
        <v>#VALUE!</v>
      </c>
      <c r="Y108" s="44" t="e">
        <f t="shared" si="11"/>
        <v>#VALUE!</v>
      </c>
      <c r="Z108" s="48" t="e">
        <f t="shared" si="11"/>
        <v>#VALUE!</v>
      </c>
      <c r="AA108" s="49" t="e">
        <f t="shared" si="11"/>
        <v>#VALUE!</v>
      </c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12">GEOMEAN(S27:S46)</f>
        <v>#DIV/0!</v>
      </c>
      <c r="T109" s="15" t="e">
        <f t="shared" si="12"/>
        <v>#DIV/0!</v>
      </c>
      <c r="V109" s="44" t="e">
        <f>AVERAGE(V27:V46)</f>
        <v>#VALUE!</v>
      </c>
      <c r="W109" s="48" t="e">
        <f t="shared" ref="W109:AA109" si="13">AVERAGE(W27:W46)</f>
        <v>#VALUE!</v>
      </c>
      <c r="X109" s="48" t="e">
        <f t="shared" si="13"/>
        <v>#VALUE!</v>
      </c>
      <c r="Y109" s="44" t="e">
        <f t="shared" si="13"/>
        <v>#VALUE!</v>
      </c>
      <c r="Z109" s="48" t="e">
        <f t="shared" si="13"/>
        <v>#VALUE!</v>
      </c>
      <c r="AA109" s="49" t="e">
        <f t="shared" si="13"/>
        <v>#VALUE!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4">GEOMEAN(S47:S62)</f>
        <v>#DIV/0!</v>
      </c>
      <c r="T110" s="15" t="e">
        <f t="shared" si="14"/>
        <v>#DIV/0!</v>
      </c>
      <c r="V110" s="44" t="e">
        <f>AVERAGE(V47:V62)</f>
        <v>#VALUE!</v>
      </c>
      <c r="W110" s="48" t="e">
        <f t="shared" ref="W110:AA110" si="15">AVERAGE(W47:W62)</f>
        <v>#VALUE!</v>
      </c>
      <c r="X110" s="48" t="e">
        <f t="shared" si="15"/>
        <v>#VALUE!</v>
      </c>
      <c r="Y110" s="44" t="e">
        <f t="shared" si="15"/>
        <v>#VALUE!</v>
      </c>
      <c r="Z110" s="48" t="e">
        <f t="shared" si="15"/>
        <v>#VALUE!</v>
      </c>
      <c r="AA110" s="49" t="e">
        <f t="shared" si="15"/>
        <v>#VALUE!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6">GEOMEAN(S63:S78)</f>
        <v>#DIV/0!</v>
      </c>
      <c r="T111" s="15" t="e">
        <f t="shared" si="16"/>
        <v>#DIV/0!</v>
      </c>
      <c r="V111" s="44" t="e">
        <f>AVERAGE(V63:V78)</f>
        <v>#VALUE!</v>
      </c>
      <c r="W111" s="48" t="e">
        <f t="shared" ref="W111:AA111" si="17">AVERAGE(W63:W78)</f>
        <v>#VALUE!</v>
      </c>
      <c r="X111" s="48" t="e">
        <f t="shared" si="17"/>
        <v>#VALUE!</v>
      </c>
      <c r="Y111" s="44" t="e">
        <f t="shared" si="17"/>
        <v>#VALUE!</v>
      </c>
      <c r="Z111" s="48" t="e">
        <f t="shared" si="17"/>
        <v>#VALUE!</v>
      </c>
      <c r="AA111" s="49" t="e">
        <f t="shared" si="17"/>
        <v>#VALUE!</v>
      </c>
    </row>
    <row r="112" spans="1:27" x14ac:dyDescent="0.2">
      <c r="B112" s="1" t="s">
        <v>7</v>
      </c>
      <c r="I112" s="15"/>
      <c r="J112" s="15"/>
      <c r="Q112" s="15"/>
      <c r="R112" s="15"/>
      <c r="S112" s="15"/>
      <c r="T112" s="15"/>
      <c r="V112" s="44"/>
      <c r="W112" s="48"/>
      <c r="X112" s="48"/>
      <c r="Y112" s="44"/>
      <c r="Z112" s="48"/>
      <c r="AA112" s="49"/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8">GEOMEAN(S91:S106)</f>
        <v>#DIV/0!</v>
      </c>
      <c r="T113" s="15" t="e">
        <f t="shared" si="18"/>
        <v>#DIV/0!</v>
      </c>
      <c r="V113" s="44" t="e">
        <f>AVERAGE(V91:V106)</f>
        <v>#VALUE!</v>
      </c>
      <c r="W113" s="48" t="e">
        <f t="shared" ref="W113:AA113" si="19">AVERAGE(W91:W106)</f>
        <v>#VALUE!</v>
      </c>
      <c r="X113" s="48" t="e">
        <f t="shared" si="19"/>
        <v>#VALUE!</v>
      </c>
      <c r="Y113" s="44" t="e">
        <f t="shared" si="19"/>
        <v>#VALUE!</v>
      </c>
      <c r="Z113" s="48" t="e">
        <f t="shared" si="19"/>
        <v>#VALUE!</v>
      </c>
      <c r="AA113" s="49" t="e">
        <f t="shared" si="19"/>
        <v>#VALUE!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>GEOMEAN(R3:R62,R79:R90)</f>
        <v>#NUM!</v>
      </c>
      <c r="S114" s="61" t="e">
        <f t="shared" ref="S114:T114" si="20">GEOMEAN(S3:S62,S79:S90)</f>
        <v>#DIV/0!</v>
      </c>
      <c r="T114" s="61" t="e">
        <f t="shared" si="20"/>
        <v>#DIV/0!</v>
      </c>
      <c r="U114" s="4"/>
      <c r="V114" s="45" t="e">
        <f>AVERAGE(V3:V62,V79:V90)</f>
        <v>#VALUE!</v>
      </c>
      <c r="W114" s="50" t="e">
        <f t="shared" ref="W114:AA114" si="21">AVERAGE(W3:W62,W79:W90)</f>
        <v>#VALUE!</v>
      </c>
      <c r="X114" s="50" t="e">
        <f t="shared" si="21"/>
        <v>#VALUE!</v>
      </c>
      <c r="Y114" s="45" t="e">
        <f t="shared" si="21"/>
        <v>#VALUE!</v>
      </c>
      <c r="Z114" s="50" t="e">
        <f t="shared" si="21"/>
        <v>#VALUE!</v>
      </c>
      <c r="AA114" s="51" t="e">
        <f t="shared" si="21"/>
        <v>#VALUE!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  <c r="I120" s="15">
        <f>SUM(I$3:I$14)</f>
        <v>0</v>
      </c>
      <c r="J120" s="15">
        <f>SUM(J$3:J$14)</f>
        <v>0</v>
      </c>
      <c r="Q120" s="15">
        <f>SUM(Q$3:Q$14)</f>
        <v>0</v>
      </c>
      <c r="R120" s="15">
        <f>SUM(R$3:R$14)</f>
        <v>0</v>
      </c>
      <c r="S120" s="15" t="e">
        <f>R120/I120</f>
        <v>#DIV/0!</v>
      </c>
      <c r="T120" s="15" t="e">
        <f>Q120/H120</f>
        <v>#DIV/0!</v>
      </c>
    </row>
    <row r="121" spans="1:27" x14ac:dyDescent="0.2">
      <c r="B121" s="1" t="s">
        <v>70</v>
      </c>
      <c r="I121" s="15">
        <f>SUM(I$15:I$26)</f>
        <v>0</v>
      </c>
      <c r="J121" s="15">
        <f>SUM(J$15:J$26)</f>
        <v>0</v>
      </c>
      <c r="Q121" s="15">
        <f>SUM(Q$15:Q$26)</f>
        <v>0</v>
      </c>
      <c r="R121" s="15">
        <f>SUM(R$15:R$26)</f>
        <v>0</v>
      </c>
      <c r="S121" s="15" t="e">
        <f>R121/I121</f>
        <v>#DIV/0!</v>
      </c>
      <c r="T121" s="15" t="e">
        <f>Q121/H121</f>
        <v>#DIV/0!</v>
      </c>
    </row>
    <row r="122" spans="1:27" x14ac:dyDescent="0.2">
      <c r="B122" s="1" t="s">
        <v>1</v>
      </c>
      <c r="I122" s="15">
        <f>SUM(I$27:I$46)</f>
        <v>0</v>
      </c>
      <c r="J122" s="15">
        <f>SUM(J$27:J$46)</f>
        <v>55.314439444444439</v>
      </c>
      <c r="Q122" s="15">
        <f>SUM(Q$27:Q$46)</f>
        <v>0</v>
      </c>
      <c r="R122" s="15">
        <f>SUM(R$27:R$46)</f>
        <v>0</v>
      </c>
      <c r="S122" s="15" t="e">
        <f>R122/I122</f>
        <v>#DIV/0!</v>
      </c>
      <c r="T122" s="15" t="e">
        <f>Q122/H122</f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>R123/I123</f>
        <v>#DIV/0!</v>
      </c>
      <c r="T123" s="15" t="e">
        <f>Q123/H123</f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>R124/I124</f>
        <v>#DIV/0!</v>
      </c>
      <c r="T124" s="15" t="e">
        <f>Q124/H124</f>
        <v>#DIV/0!</v>
      </c>
    </row>
    <row r="125" spans="1:27" x14ac:dyDescent="0.2">
      <c r="B125" s="1" t="s">
        <v>7</v>
      </c>
      <c r="I125" s="15"/>
      <c r="J125" s="15"/>
      <c r="Q125" s="15"/>
      <c r="R125" s="15"/>
      <c r="S125" s="15"/>
      <c r="T125" s="15"/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>R126/I126</f>
        <v>#DIV/0!</v>
      </c>
      <c r="T126" s="15" t="e">
        <f>Q126/H126</f>
        <v>#DIV/0!</v>
      </c>
    </row>
    <row r="127" spans="1:27" x14ac:dyDescent="0.2">
      <c r="B127" s="1" t="s">
        <v>8</v>
      </c>
      <c r="I127" s="15">
        <f>SUM(I120:I126)</f>
        <v>0</v>
      </c>
      <c r="J127" s="15">
        <f>SUM(J120:J126)</f>
        <v>55.314439444444439</v>
      </c>
      <c r="Q127" s="15">
        <f>SUM(Q120:Q126)</f>
        <v>0</v>
      </c>
      <c r="R127" s="15">
        <f>SUM(R120:R126)</f>
        <v>0</v>
      </c>
      <c r="S127" s="15" t="e">
        <f>R127/I127</f>
        <v>#DIV/0!</v>
      </c>
      <c r="T127" s="15" t="e">
        <f>Q127/H127</f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>
        <f>MAX(I$3:I$14)</f>
        <v>0</v>
      </c>
      <c r="J130" s="15">
        <f>MAX(J$3:J$14)</f>
        <v>0</v>
      </c>
      <c r="Q130" s="15">
        <f>MAX(Q$3:Q$14)</f>
        <v>0</v>
      </c>
      <c r="R130" s="15">
        <f>MAX(R$3:R$14)</f>
        <v>0</v>
      </c>
      <c r="S130" s="15" t="e">
        <f>R130/I130</f>
        <v>#DIV/0!</v>
      </c>
      <c r="T130" s="15" t="e">
        <f>Q130/H130</f>
        <v>#DIV/0!</v>
      </c>
    </row>
    <row r="131" spans="2:20" x14ac:dyDescent="0.2">
      <c r="B131" s="1" t="s">
        <v>70</v>
      </c>
      <c r="I131" s="15">
        <f>MAX(I$15:I$26)</f>
        <v>0</v>
      </c>
      <c r="J131" s="15">
        <f>MAX(J$15:J$26)</f>
        <v>0</v>
      </c>
      <c r="Q131" s="15">
        <f>MAX(Q$15:Q$26)</f>
        <v>0</v>
      </c>
      <c r="R131" s="15">
        <f>MAX(R$15:R$26)</f>
        <v>0</v>
      </c>
      <c r="S131" s="15" t="e">
        <f>R131/I131</f>
        <v>#DIV/0!</v>
      </c>
      <c r="T131" s="15" t="e">
        <f>Q131/H131</f>
        <v>#DIV/0!</v>
      </c>
    </row>
    <row r="132" spans="2:20" x14ac:dyDescent="0.2">
      <c r="B132" s="1" t="s">
        <v>1</v>
      </c>
      <c r="I132" s="15">
        <f>MAX(I$27:I$46)</f>
        <v>0</v>
      </c>
      <c r="J132" s="15">
        <f>MAX(J$27:J$46)</f>
        <v>7.5770338888888888</v>
      </c>
      <c r="Q132" s="15">
        <f>MAX(Q$27:Q$46)</f>
        <v>0</v>
      </c>
      <c r="R132" s="15">
        <f>MAX(R$27:R$46)</f>
        <v>0</v>
      </c>
      <c r="S132" s="15" t="e">
        <f>R132/I132</f>
        <v>#DIV/0!</v>
      </c>
      <c r="T132" s="15" t="e">
        <f>Q132/H132</f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>R133/I133</f>
        <v>#DIV/0!</v>
      </c>
      <c r="T133" s="15" t="e">
        <f>Q133/H133</f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>R134/I134</f>
        <v>#DIV/0!</v>
      </c>
      <c r="T134" s="15" t="e">
        <f>Q134/H134</f>
        <v>#DIV/0!</v>
      </c>
    </row>
    <row r="135" spans="2:20" x14ac:dyDescent="0.2">
      <c r="B135" s="1" t="s">
        <v>7</v>
      </c>
      <c r="I135" s="15"/>
      <c r="J135" s="15"/>
      <c r="Q135" s="15"/>
      <c r="R135" s="15"/>
      <c r="S135" s="15"/>
      <c r="T135" s="15"/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>R136/I136</f>
        <v>#DIV/0!</v>
      </c>
      <c r="T136" s="15" t="e">
        <f>Q136/H136</f>
        <v>#DIV/0!</v>
      </c>
    </row>
    <row r="137" spans="2:20" x14ac:dyDescent="0.2">
      <c r="B137" s="1" t="s">
        <v>8</v>
      </c>
      <c r="I137" s="15">
        <f>MAX(I130:I136)</f>
        <v>0</v>
      </c>
      <c r="J137" s="15">
        <f>MAX(J130:J136)</f>
        <v>7.5770338888888888</v>
      </c>
      <c r="Q137" s="15">
        <f>MAX(Q130:Q136)</f>
        <v>0</v>
      </c>
      <c r="R137" s="15">
        <f>MAX(R130:R136)</f>
        <v>0</v>
      </c>
      <c r="S137" s="15" t="e">
        <f>R137/I137</f>
        <v>#DIV/0!</v>
      </c>
      <c r="T137" s="15" t="e">
        <f>Q137/H137</f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AA7">
    <cfRule type="cellIs" dxfId="713" priority="533" operator="greaterThan">
      <formula>0.03</formula>
    </cfRule>
    <cfRule type="cellIs" dxfId="712" priority="534" stopIfTrue="1" operator="lessThan">
      <formula>-0.03</formula>
    </cfRule>
  </conditionalFormatting>
  <conditionalFormatting sqref="Z11">
    <cfRule type="cellIs" dxfId="711" priority="529" operator="greaterThan">
      <formula>0.03</formula>
    </cfRule>
    <cfRule type="cellIs" dxfId="710" priority="530" stopIfTrue="1" operator="lessThan">
      <formula>-0.03</formula>
    </cfRule>
  </conditionalFormatting>
  <conditionalFormatting sqref="Y6:Z6">
    <cfRule type="cellIs" dxfId="709" priority="519" operator="greaterThan">
      <formula>0.03</formula>
    </cfRule>
    <cfRule type="cellIs" dxfId="708" priority="520" stopIfTrue="1" operator="lessThan">
      <formula>-0.03</formula>
    </cfRule>
  </conditionalFormatting>
  <conditionalFormatting sqref="Y14:Z14">
    <cfRule type="cellIs" dxfId="707" priority="515" operator="greaterThan">
      <formula>0.03</formula>
    </cfRule>
    <cfRule type="cellIs" dxfId="706" priority="516" stopIfTrue="1" operator="lessThan">
      <formula>-0.03</formula>
    </cfRule>
  </conditionalFormatting>
  <conditionalFormatting sqref="V114:AA114">
    <cfRule type="cellIs" dxfId="705" priority="471" operator="greaterThan">
      <formula>0.03</formula>
    </cfRule>
    <cfRule type="cellIs" dxfId="704" priority="472" stopIfTrue="1" operator="lessThan">
      <formula>-0.03</formula>
    </cfRule>
  </conditionalFormatting>
  <conditionalFormatting sqref="Y23">
    <cfRule type="cellIs" dxfId="703" priority="433" operator="greaterThan">
      <formula>0.03</formula>
    </cfRule>
    <cfRule type="cellIs" dxfId="702" priority="434" stopIfTrue="1" operator="lessThan">
      <formula>-0.03</formula>
    </cfRule>
  </conditionalFormatting>
  <conditionalFormatting sqref="Z19">
    <cfRule type="cellIs" dxfId="701" priority="437" operator="greaterThan">
      <formula>0.03</formula>
    </cfRule>
    <cfRule type="cellIs" dxfId="700" priority="438" stopIfTrue="1" operator="lessThan">
      <formula>-0.03</formula>
    </cfRule>
  </conditionalFormatting>
  <conditionalFormatting sqref="AA19">
    <cfRule type="cellIs" dxfId="699" priority="435" operator="greaterThan">
      <formula>0.03</formula>
    </cfRule>
    <cfRule type="cellIs" dxfId="698" priority="436" stopIfTrue="1" operator="lessThan">
      <formula>-0.03</formula>
    </cfRule>
  </conditionalFormatting>
  <conditionalFormatting sqref="Z35">
    <cfRule type="cellIs" dxfId="697" priority="343" operator="greaterThan">
      <formula>0.03</formula>
    </cfRule>
    <cfRule type="cellIs" dxfId="696" priority="344" stopIfTrue="1" operator="lessThan">
      <formula>-0.03</formula>
    </cfRule>
  </conditionalFormatting>
  <conditionalFormatting sqref="Y31">
    <cfRule type="cellIs" dxfId="695" priority="351" operator="greaterThan">
      <formula>0.03</formula>
    </cfRule>
    <cfRule type="cellIs" dxfId="694" priority="352" stopIfTrue="1" operator="lessThan">
      <formula>-0.03</formula>
    </cfRule>
  </conditionalFormatting>
  <conditionalFormatting sqref="AA27">
    <cfRule type="cellIs" dxfId="693" priority="367" operator="greaterThan">
      <formula>0.03</formula>
    </cfRule>
    <cfRule type="cellIs" dxfId="692" priority="368" stopIfTrue="1" operator="lessThan">
      <formula>-0.03</formula>
    </cfRule>
  </conditionalFormatting>
  <conditionalFormatting sqref="Y30:Z30">
    <cfRule type="cellIs" dxfId="691" priority="365" operator="greaterThan">
      <formula>0.03</formula>
    </cfRule>
    <cfRule type="cellIs" dxfId="690" priority="366" stopIfTrue="1" operator="lessThan">
      <formula>-0.03</formula>
    </cfRule>
  </conditionalFormatting>
  <conditionalFormatting sqref="AA35">
    <cfRule type="cellIs" dxfId="689" priority="341" operator="greaterThan">
      <formula>0.03</formula>
    </cfRule>
    <cfRule type="cellIs" dxfId="688" priority="342" stopIfTrue="1" operator="lessThan">
      <formula>-0.03</formula>
    </cfRule>
  </conditionalFormatting>
  <conditionalFormatting sqref="Y34:Z34">
    <cfRule type="cellIs" dxfId="687" priority="339" operator="greaterThan">
      <formula>0.03</formula>
    </cfRule>
    <cfRule type="cellIs" dxfId="686" priority="340" stopIfTrue="1" operator="lessThan">
      <formula>-0.03</formula>
    </cfRule>
  </conditionalFormatting>
  <conditionalFormatting sqref="Y38:Z38">
    <cfRule type="cellIs" dxfId="685" priority="337" operator="greaterThan">
      <formula>0.03</formula>
    </cfRule>
    <cfRule type="cellIs" dxfId="684" priority="338" stopIfTrue="1" operator="lessThan">
      <formula>-0.03</formula>
    </cfRule>
  </conditionalFormatting>
  <conditionalFormatting sqref="V31:X38">
    <cfRule type="cellIs" dxfId="683" priority="353" operator="greaterThan">
      <formula>0.03</formula>
    </cfRule>
    <cfRule type="cellIs" dxfId="682" priority="354" stopIfTrue="1" operator="lessThan">
      <formula>-0.03</formula>
    </cfRule>
  </conditionalFormatting>
  <conditionalFormatting sqref="Z31">
    <cfRule type="cellIs" dxfId="681" priority="349" operator="greaterThan">
      <formula>0.03</formula>
    </cfRule>
    <cfRule type="cellIs" dxfId="680" priority="350" stopIfTrue="1" operator="lessThan">
      <formula>-0.03</formula>
    </cfRule>
  </conditionalFormatting>
  <conditionalFormatting sqref="AA31">
    <cfRule type="cellIs" dxfId="679" priority="347" operator="greaterThan">
      <formula>0.03</formula>
    </cfRule>
    <cfRule type="cellIs" dxfId="678" priority="348" stopIfTrue="1" operator="lessThan">
      <formula>-0.03</formula>
    </cfRule>
  </conditionalFormatting>
  <conditionalFormatting sqref="Y35">
    <cfRule type="cellIs" dxfId="677" priority="345" operator="greaterThan">
      <formula>0.03</formula>
    </cfRule>
    <cfRule type="cellIs" dxfId="676" priority="346" stopIfTrue="1" operator="lessThan">
      <formula>-0.03</formula>
    </cfRule>
  </conditionalFormatting>
  <conditionalFormatting sqref="V39:X46">
    <cfRule type="cellIs" dxfId="675" priority="315" operator="greaterThan">
      <formula>0.03</formula>
    </cfRule>
    <cfRule type="cellIs" dxfId="674" priority="316" stopIfTrue="1" operator="lessThan">
      <formula>-0.03</formula>
    </cfRule>
  </conditionalFormatting>
  <conditionalFormatting sqref="Y39">
    <cfRule type="cellIs" dxfId="673" priority="313" operator="greaterThan">
      <formula>0.03</formula>
    </cfRule>
    <cfRule type="cellIs" dxfId="672" priority="314" stopIfTrue="1" operator="lessThan">
      <formula>-0.03</formula>
    </cfRule>
  </conditionalFormatting>
  <conditionalFormatting sqref="Z39">
    <cfRule type="cellIs" dxfId="671" priority="311" operator="greaterThan">
      <formula>0.03</formula>
    </cfRule>
    <cfRule type="cellIs" dxfId="670" priority="312" stopIfTrue="1" operator="lessThan">
      <formula>-0.03</formula>
    </cfRule>
  </conditionalFormatting>
  <conditionalFormatting sqref="AA39">
    <cfRule type="cellIs" dxfId="669" priority="309" operator="greaterThan">
      <formula>0.03</formula>
    </cfRule>
    <cfRule type="cellIs" dxfId="668" priority="310" stopIfTrue="1" operator="lessThan">
      <formula>-0.03</formula>
    </cfRule>
  </conditionalFormatting>
  <conditionalFormatting sqref="Y43">
    <cfRule type="cellIs" dxfId="667" priority="307" operator="greaterThan">
      <formula>0.03</formula>
    </cfRule>
    <cfRule type="cellIs" dxfId="666" priority="308" stopIfTrue="1" operator="lessThan">
      <formula>-0.03</formula>
    </cfRule>
  </conditionalFormatting>
  <conditionalFormatting sqref="Z43">
    <cfRule type="cellIs" dxfId="665" priority="305" operator="greaterThan">
      <formula>0.03</formula>
    </cfRule>
    <cfRule type="cellIs" dxfId="664" priority="306" stopIfTrue="1" operator="lessThan">
      <formula>-0.03</formula>
    </cfRule>
  </conditionalFormatting>
  <conditionalFormatting sqref="AA43">
    <cfRule type="cellIs" dxfId="663" priority="303" operator="greaterThan">
      <formula>0.03</formula>
    </cfRule>
    <cfRule type="cellIs" dxfId="662" priority="304" stopIfTrue="1" operator="lessThan">
      <formula>-0.03</formula>
    </cfRule>
  </conditionalFormatting>
  <conditionalFormatting sqref="Y42:Z42">
    <cfRule type="cellIs" dxfId="661" priority="301" operator="greaterThan">
      <formula>0.03</formula>
    </cfRule>
    <cfRule type="cellIs" dxfId="660" priority="302" stopIfTrue="1" operator="lessThan">
      <formula>-0.03</formula>
    </cfRule>
  </conditionalFormatting>
  <conditionalFormatting sqref="Y46:Z46">
    <cfRule type="cellIs" dxfId="659" priority="299" operator="greaterThan">
      <formula>0.03</formula>
    </cfRule>
    <cfRule type="cellIs" dxfId="658" priority="300" stopIfTrue="1" operator="lessThan">
      <formula>-0.03</formula>
    </cfRule>
  </conditionalFormatting>
  <conditionalFormatting sqref="V47:X62">
    <cfRule type="cellIs" dxfId="657" priority="277" operator="greaterThan">
      <formula>0.03</formula>
    </cfRule>
    <cfRule type="cellIs" dxfId="656" priority="278" stopIfTrue="1" operator="lessThan">
      <formula>-0.03</formula>
    </cfRule>
  </conditionalFormatting>
  <conditionalFormatting sqref="Y47">
    <cfRule type="cellIs" dxfId="655" priority="275" operator="greaterThan">
      <formula>0.03</formula>
    </cfRule>
    <cfRule type="cellIs" dxfId="654" priority="276" stopIfTrue="1" operator="lessThan">
      <formula>-0.03</formula>
    </cfRule>
  </conditionalFormatting>
  <conditionalFormatting sqref="Z47">
    <cfRule type="cellIs" dxfId="653" priority="273" operator="greaterThan">
      <formula>0.03</formula>
    </cfRule>
    <cfRule type="cellIs" dxfId="652" priority="274" stopIfTrue="1" operator="lessThan">
      <formula>-0.03</formula>
    </cfRule>
  </conditionalFormatting>
  <conditionalFormatting sqref="AA47">
    <cfRule type="cellIs" dxfId="651" priority="271" operator="greaterThan">
      <formula>0.03</formula>
    </cfRule>
    <cfRule type="cellIs" dxfId="650" priority="272" stopIfTrue="1" operator="lessThan">
      <formula>-0.03</formula>
    </cfRule>
  </conditionalFormatting>
  <conditionalFormatting sqref="Y51">
    <cfRule type="cellIs" dxfId="649" priority="269" operator="greaterThan">
      <formula>0.03</formula>
    </cfRule>
    <cfRule type="cellIs" dxfId="648" priority="270" stopIfTrue="1" operator="lessThan">
      <formula>-0.03</formula>
    </cfRule>
  </conditionalFormatting>
  <conditionalFormatting sqref="Z51">
    <cfRule type="cellIs" dxfId="647" priority="267" operator="greaterThan">
      <formula>0.03</formula>
    </cfRule>
    <cfRule type="cellIs" dxfId="646" priority="268" stopIfTrue="1" operator="lessThan">
      <formula>-0.03</formula>
    </cfRule>
  </conditionalFormatting>
  <conditionalFormatting sqref="AA51">
    <cfRule type="cellIs" dxfId="645" priority="265" operator="greaterThan">
      <formula>0.03</formula>
    </cfRule>
    <cfRule type="cellIs" dxfId="644" priority="266" stopIfTrue="1" operator="lessThan">
      <formula>-0.03</formula>
    </cfRule>
  </conditionalFormatting>
  <conditionalFormatting sqref="Y55">
    <cfRule type="cellIs" dxfId="643" priority="263" operator="greaterThan">
      <formula>0.03</formula>
    </cfRule>
    <cfRule type="cellIs" dxfId="642" priority="264" stopIfTrue="1" operator="lessThan">
      <formula>-0.03</formula>
    </cfRule>
  </conditionalFormatting>
  <conditionalFormatting sqref="Z55">
    <cfRule type="cellIs" dxfId="641" priority="261" operator="greaterThan">
      <formula>0.03</formula>
    </cfRule>
    <cfRule type="cellIs" dxfId="640" priority="262" stopIfTrue="1" operator="lessThan">
      <formula>-0.03</formula>
    </cfRule>
  </conditionalFormatting>
  <conditionalFormatting sqref="AA55">
    <cfRule type="cellIs" dxfId="639" priority="259" operator="greaterThan">
      <formula>0.03</formula>
    </cfRule>
    <cfRule type="cellIs" dxfId="638" priority="260" stopIfTrue="1" operator="lessThan">
      <formula>-0.03</formula>
    </cfRule>
  </conditionalFormatting>
  <conditionalFormatting sqref="Y59">
    <cfRule type="cellIs" dxfId="637" priority="257" operator="greaterThan">
      <formula>0.03</formula>
    </cfRule>
    <cfRule type="cellIs" dxfId="636" priority="258" stopIfTrue="1" operator="lessThan">
      <formula>-0.03</formula>
    </cfRule>
  </conditionalFormatting>
  <conditionalFormatting sqref="Z59">
    <cfRule type="cellIs" dxfId="635" priority="255" operator="greaterThan">
      <formula>0.03</formula>
    </cfRule>
    <cfRule type="cellIs" dxfId="634" priority="256" stopIfTrue="1" operator="lessThan">
      <formula>-0.03</formula>
    </cfRule>
  </conditionalFormatting>
  <conditionalFormatting sqref="AA59">
    <cfRule type="cellIs" dxfId="633" priority="253" operator="greaterThan">
      <formula>0.03</formula>
    </cfRule>
    <cfRule type="cellIs" dxfId="632" priority="254" stopIfTrue="1" operator="lessThan">
      <formula>-0.03</formula>
    </cfRule>
  </conditionalFormatting>
  <conditionalFormatting sqref="Y50:Z50">
    <cfRule type="cellIs" dxfId="631" priority="251" operator="greaterThan">
      <formula>0.03</formula>
    </cfRule>
    <cfRule type="cellIs" dxfId="630" priority="252" stopIfTrue="1" operator="lessThan">
      <formula>-0.03</formula>
    </cfRule>
  </conditionalFormatting>
  <conditionalFormatting sqref="Y54:Z54">
    <cfRule type="cellIs" dxfId="629" priority="249" operator="greaterThan">
      <formula>0.03</formula>
    </cfRule>
    <cfRule type="cellIs" dxfId="628" priority="250" stopIfTrue="1" operator="lessThan">
      <formula>-0.03</formula>
    </cfRule>
  </conditionalFormatting>
  <conditionalFormatting sqref="Y58:Z58">
    <cfRule type="cellIs" dxfId="627" priority="247" operator="greaterThan">
      <formula>0.03</formula>
    </cfRule>
    <cfRule type="cellIs" dxfId="626" priority="248" stopIfTrue="1" operator="lessThan">
      <formula>-0.03</formula>
    </cfRule>
  </conditionalFormatting>
  <conditionalFormatting sqref="Y62:Z62">
    <cfRule type="cellIs" dxfId="625" priority="245" operator="greaterThan">
      <formula>0.03</formula>
    </cfRule>
    <cfRule type="cellIs" dxfId="624" priority="246" stopIfTrue="1" operator="lessThan">
      <formula>-0.03</formula>
    </cfRule>
  </conditionalFormatting>
  <conditionalFormatting sqref="V63:X78">
    <cfRule type="cellIs" dxfId="623" priority="203" operator="greaterThan">
      <formula>0.03</formula>
    </cfRule>
    <cfRule type="cellIs" dxfId="622" priority="204" stopIfTrue="1" operator="lessThan">
      <formula>-0.03</formula>
    </cfRule>
  </conditionalFormatting>
  <conditionalFormatting sqref="Y63">
    <cfRule type="cellIs" dxfId="621" priority="201" operator="greaterThan">
      <formula>0.03</formula>
    </cfRule>
    <cfRule type="cellIs" dxfId="620" priority="202" stopIfTrue="1" operator="lessThan">
      <formula>-0.03</formula>
    </cfRule>
  </conditionalFormatting>
  <conditionalFormatting sqref="Z63">
    <cfRule type="cellIs" dxfId="619" priority="199" operator="greaterThan">
      <formula>0.03</formula>
    </cfRule>
    <cfRule type="cellIs" dxfId="618" priority="200" stopIfTrue="1" operator="lessThan">
      <formula>-0.03</formula>
    </cfRule>
  </conditionalFormatting>
  <conditionalFormatting sqref="AA63">
    <cfRule type="cellIs" dxfId="617" priority="197" operator="greaterThan">
      <formula>0.03</formula>
    </cfRule>
    <cfRule type="cellIs" dxfId="616" priority="198" stopIfTrue="1" operator="lessThan">
      <formula>-0.03</formula>
    </cfRule>
  </conditionalFormatting>
  <conditionalFormatting sqref="Z67">
    <cfRule type="cellIs" dxfId="615" priority="193" operator="greaterThan">
      <formula>0.03</formula>
    </cfRule>
    <cfRule type="cellIs" dxfId="614" priority="194" stopIfTrue="1" operator="lessThan">
      <formula>-0.03</formula>
    </cfRule>
  </conditionalFormatting>
  <conditionalFormatting sqref="AA67">
    <cfRule type="cellIs" dxfId="613" priority="191" operator="greaterThan">
      <formula>0.03</formula>
    </cfRule>
    <cfRule type="cellIs" dxfId="612" priority="192" stopIfTrue="1" operator="lessThan">
      <formula>-0.03</formula>
    </cfRule>
  </conditionalFormatting>
  <conditionalFormatting sqref="Y71">
    <cfRule type="cellIs" dxfId="611" priority="189" operator="greaterThan">
      <formula>0.03</formula>
    </cfRule>
    <cfRule type="cellIs" dxfId="610" priority="190" stopIfTrue="1" operator="lessThan">
      <formula>-0.03</formula>
    </cfRule>
  </conditionalFormatting>
  <conditionalFormatting sqref="Z71">
    <cfRule type="cellIs" dxfId="609" priority="187" operator="greaterThan">
      <formula>0.03</formula>
    </cfRule>
    <cfRule type="cellIs" dxfId="608" priority="188" stopIfTrue="1" operator="lessThan">
      <formula>-0.03</formula>
    </cfRule>
  </conditionalFormatting>
  <conditionalFormatting sqref="Y67">
    <cfRule type="cellIs" dxfId="607" priority="195" operator="greaterThan">
      <formula>0.03</formula>
    </cfRule>
    <cfRule type="cellIs" dxfId="606" priority="196" stopIfTrue="1" operator="lessThan">
      <formula>-0.03</formula>
    </cfRule>
  </conditionalFormatting>
  <conditionalFormatting sqref="Y75">
    <cfRule type="cellIs" dxfId="605" priority="183" operator="greaterThan">
      <formula>0.03</formula>
    </cfRule>
    <cfRule type="cellIs" dxfId="604" priority="184" stopIfTrue="1" operator="lessThan">
      <formula>-0.03</formula>
    </cfRule>
  </conditionalFormatting>
  <conditionalFormatting sqref="Z75">
    <cfRule type="cellIs" dxfId="603" priority="181" operator="greaterThan">
      <formula>0.03</formula>
    </cfRule>
    <cfRule type="cellIs" dxfId="602" priority="182" stopIfTrue="1" operator="lessThan">
      <formula>-0.03</formula>
    </cfRule>
  </conditionalFormatting>
  <conditionalFormatting sqref="AA75">
    <cfRule type="cellIs" dxfId="601" priority="179" operator="greaterThan">
      <formula>0.03</formula>
    </cfRule>
    <cfRule type="cellIs" dxfId="600" priority="180" stopIfTrue="1" operator="lessThan">
      <formula>-0.03</formula>
    </cfRule>
  </conditionalFormatting>
  <conditionalFormatting sqref="Y66:Z66">
    <cfRule type="cellIs" dxfId="599" priority="177" operator="greaterThan">
      <formula>0.03</formula>
    </cfRule>
    <cfRule type="cellIs" dxfId="598" priority="178" stopIfTrue="1" operator="lessThan">
      <formula>-0.03</formula>
    </cfRule>
  </conditionalFormatting>
  <conditionalFormatting sqref="AA71">
    <cfRule type="cellIs" dxfId="597" priority="185" operator="greaterThan">
      <formula>0.03</formula>
    </cfRule>
    <cfRule type="cellIs" dxfId="596" priority="186" stopIfTrue="1" operator="lessThan">
      <formula>-0.03</formula>
    </cfRule>
  </conditionalFormatting>
  <conditionalFormatting sqref="Y70:Z70">
    <cfRule type="cellIs" dxfId="595" priority="175" operator="greaterThan">
      <formula>0.03</formula>
    </cfRule>
    <cfRule type="cellIs" dxfId="594" priority="176" stopIfTrue="1" operator="lessThan">
      <formula>-0.03</formula>
    </cfRule>
  </conditionalFormatting>
  <conditionalFormatting sqref="Y74:Z74">
    <cfRule type="cellIs" dxfId="593" priority="173" operator="greaterThan">
      <formula>0.03</formula>
    </cfRule>
    <cfRule type="cellIs" dxfId="592" priority="174" stopIfTrue="1" operator="lessThan">
      <formula>-0.03</formula>
    </cfRule>
  </conditionalFormatting>
  <conditionalFormatting sqref="Y78:Z78">
    <cfRule type="cellIs" dxfId="591" priority="171" operator="greaterThan">
      <formula>0.03</formula>
    </cfRule>
    <cfRule type="cellIs" dxfId="590" priority="172" stopIfTrue="1" operator="lessThan">
      <formula>-0.03</formula>
    </cfRule>
  </conditionalFormatting>
  <conditionalFormatting sqref="V3:X14">
    <cfRule type="cellIs" dxfId="589" priority="545" operator="greaterThan">
      <formula>0.03</formula>
    </cfRule>
    <cfRule type="cellIs" dxfId="588" priority="546" stopIfTrue="1" operator="lessThan">
      <formula>-0.03</formula>
    </cfRule>
  </conditionalFormatting>
  <conditionalFormatting sqref="Y3">
    <cfRule type="cellIs" dxfId="587" priority="543" operator="greaterThan">
      <formula>0.03</formula>
    </cfRule>
    <cfRule type="cellIs" dxfId="586" priority="544" stopIfTrue="1" operator="lessThan">
      <formula>-0.03</formula>
    </cfRule>
  </conditionalFormatting>
  <conditionalFormatting sqref="Z3">
    <cfRule type="cellIs" dxfId="585" priority="541" operator="greaterThan">
      <formula>0.03</formula>
    </cfRule>
    <cfRule type="cellIs" dxfId="584" priority="542" stopIfTrue="1" operator="lessThan">
      <formula>-0.03</formula>
    </cfRule>
  </conditionalFormatting>
  <conditionalFormatting sqref="AA3">
    <cfRule type="cellIs" dxfId="583" priority="539" operator="greaterThan">
      <formula>0.03</formula>
    </cfRule>
    <cfRule type="cellIs" dxfId="582" priority="540" stopIfTrue="1" operator="lessThan">
      <formula>-0.03</formula>
    </cfRule>
  </conditionalFormatting>
  <conditionalFormatting sqref="Y7">
    <cfRule type="cellIs" dxfId="581" priority="537" operator="greaterThan">
      <formula>0.03</formula>
    </cfRule>
    <cfRule type="cellIs" dxfId="580" priority="538" stopIfTrue="1" operator="lessThan">
      <formula>-0.03</formula>
    </cfRule>
  </conditionalFormatting>
  <conditionalFormatting sqref="Z7">
    <cfRule type="cellIs" dxfId="579" priority="535" operator="greaterThan">
      <formula>0.03</formula>
    </cfRule>
    <cfRule type="cellIs" dxfId="578" priority="536" stopIfTrue="1" operator="lessThan">
      <formula>-0.03</formula>
    </cfRule>
  </conditionalFormatting>
  <conditionalFormatting sqref="Y11">
    <cfRule type="cellIs" dxfId="577" priority="531" operator="greaterThan">
      <formula>0.03</formula>
    </cfRule>
    <cfRule type="cellIs" dxfId="576" priority="532" stopIfTrue="1" operator="lessThan">
      <formula>-0.03</formula>
    </cfRule>
  </conditionalFormatting>
  <conditionalFormatting sqref="AA11">
    <cfRule type="cellIs" dxfId="575" priority="527" operator="greaterThan">
      <formula>0.03</formula>
    </cfRule>
    <cfRule type="cellIs" dxfId="574" priority="528" stopIfTrue="1" operator="lessThan">
      <formula>-0.03</formula>
    </cfRule>
  </conditionalFormatting>
  <conditionalFormatting sqref="Y10:Z10">
    <cfRule type="cellIs" dxfId="573" priority="517" operator="greaterThan">
      <formula>0.03</formula>
    </cfRule>
    <cfRule type="cellIs" dxfId="572" priority="518" stopIfTrue="1" operator="lessThan">
      <formula>-0.03</formula>
    </cfRule>
  </conditionalFormatting>
  <conditionalFormatting sqref="V111:AA112">
    <cfRule type="cellIs" dxfId="571" priority="469" operator="greaterThan">
      <formula>0.03</formula>
    </cfRule>
    <cfRule type="cellIs" dxfId="570" priority="470" stopIfTrue="1" operator="lessThan">
      <formula>-0.03</formula>
    </cfRule>
  </conditionalFormatting>
  <conditionalFormatting sqref="V107:AA107 V109:AA109">
    <cfRule type="cellIs" dxfId="569" priority="467" operator="greaterThan">
      <formula>0.03</formula>
    </cfRule>
    <cfRule type="cellIs" dxfId="568" priority="468" stopIfTrue="1" operator="lessThan">
      <formula>-0.03</formula>
    </cfRule>
  </conditionalFormatting>
  <conditionalFormatting sqref="Y19">
    <cfRule type="cellIs" dxfId="567" priority="439" operator="greaterThan">
      <formula>0.03</formula>
    </cfRule>
    <cfRule type="cellIs" dxfId="566" priority="440" stopIfTrue="1" operator="lessThan">
      <formula>-0.03</formula>
    </cfRule>
  </conditionalFormatting>
  <conditionalFormatting sqref="V108:AA108">
    <cfRule type="cellIs" dxfId="565" priority="461" operator="greaterThan">
      <formula>0.03</formula>
    </cfRule>
    <cfRule type="cellIs" dxfId="564" priority="462" stopIfTrue="1" operator="lessThan">
      <formula>-0.03</formula>
    </cfRule>
  </conditionalFormatting>
  <conditionalFormatting sqref="V15:X26">
    <cfRule type="cellIs" dxfId="563" priority="447" operator="greaterThan">
      <formula>0.03</formula>
    </cfRule>
    <cfRule type="cellIs" dxfId="562" priority="448" stopIfTrue="1" operator="lessThan">
      <formula>-0.03</formula>
    </cfRule>
  </conditionalFormatting>
  <conditionalFormatting sqref="Y15">
    <cfRule type="cellIs" dxfId="561" priority="445" operator="greaterThan">
      <formula>0.03</formula>
    </cfRule>
    <cfRule type="cellIs" dxfId="560" priority="446" stopIfTrue="1" operator="lessThan">
      <formula>-0.03</formula>
    </cfRule>
  </conditionalFormatting>
  <conditionalFormatting sqref="V110:AA110">
    <cfRule type="cellIs" dxfId="559" priority="465" operator="greaterThan">
      <formula>0.03</formula>
    </cfRule>
    <cfRule type="cellIs" dxfId="558" priority="466" stopIfTrue="1" operator="lessThan">
      <formula>-0.03</formula>
    </cfRule>
  </conditionalFormatting>
  <conditionalFormatting sqref="V113:AA113">
    <cfRule type="cellIs" dxfId="557" priority="463" operator="greaterThan">
      <formula>0.03</formula>
    </cfRule>
    <cfRule type="cellIs" dxfId="556" priority="464" stopIfTrue="1" operator="lessThan">
      <formula>-0.03</formula>
    </cfRule>
  </conditionalFormatting>
  <conditionalFormatting sqref="Z15">
    <cfRule type="cellIs" dxfId="555" priority="443" operator="greaterThan">
      <formula>0.03</formula>
    </cfRule>
    <cfRule type="cellIs" dxfId="554" priority="444" stopIfTrue="1" operator="lessThan">
      <formula>-0.03</formula>
    </cfRule>
  </conditionalFormatting>
  <conditionalFormatting sqref="AA15">
    <cfRule type="cellIs" dxfId="553" priority="441" operator="greaterThan">
      <formula>0.03</formula>
    </cfRule>
    <cfRule type="cellIs" dxfId="552" priority="442" stopIfTrue="1" operator="lessThan">
      <formula>-0.03</formula>
    </cfRule>
  </conditionalFormatting>
  <conditionalFormatting sqref="Z23">
    <cfRule type="cellIs" dxfId="551" priority="431" operator="greaterThan">
      <formula>0.03</formula>
    </cfRule>
    <cfRule type="cellIs" dxfId="550" priority="432" stopIfTrue="1" operator="lessThan">
      <formula>-0.03</formula>
    </cfRule>
  </conditionalFormatting>
  <conditionalFormatting sqref="AA23">
    <cfRule type="cellIs" dxfId="549" priority="429" operator="greaterThan">
      <formula>0.03</formula>
    </cfRule>
    <cfRule type="cellIs" dxfId="548" priority="430" stopIfTrue="1" operator="lessThan">
      <formula>-0.03</formula>
    </cfRule>
  </conditionalFormatting>
  <conditionalFormatting sqref="Y18:Z18">
    <cfRule type="cellIs" dxfId="547" priority="421" operator="greaterThan">
      <formula>0.03</formula>
    </cfRule>
    <cfRule type="cellIs" dxfId="546" priority="422" stopIfTrue="1" operator="lessThan">
      <formula>-0.03</formula>
    </cfRule>
  </conditionalFormatting>
  <conditionalFormatting sqref="Y22:Z22">
    <cfRule type="cellIs" dxfId="545" priority="419" operator="greaterThan">
      <formula>0.03</formula>
    </cfRule>
    <cfRule type="cellIs" dxfId="544" priority="420" stopIfTrue="1" operator="lessThan">
      <formula>-0.03</formula>
    </cfRule>
  </conditionalFormatting>
  <conditionalFormatting sqref="Y26:Z26">
    <cfRule type="cellIs" dxfId="543" priority="417" operator="greaterThan">
      <formula>0.03</formula>
    </cfRule>
    <cfRule type="cellIs" dxfId="542" priority="418" stopIfTrue="1" operator="lessThan">
      <formula>-0.03</formula>
    </cfRule>
  </conditionalFormatting>
  <conditionalFormatting sqref="V27:X30">
    <cfRule type="cellIs" dxfId="541" priority="373" operator="greaterThan">
      <formula>0.03</formula>
    </cfRule>
    <cfRule type="cellIs" dxfId="540" priority="374" stopIfTrue="1" operator="lessThan">
      <formula>-0.03</formula>
    </cfRule>
  </conditionalFormatting>
  <conditionalFormatting sqref="Y27">
    <cfRule type="cellIs" dxfId="539" priority="371" operator="greaterThan">
      <formula>0.03</formula>
    </cfRule>
    <cfRule type="cellIs" dxfId="538" priority="372" stopIfTrue="1" operator="lessThan">
      <formula>-0.03</formula>
    </cfRule>
  </conditionalFormatting>
  <conditionalFormatting sqref="Z27">
    <cfRule type="cellIs" dxfId="537" priority="369" operator="greaterThan">
      <formula>0.03</formula>
    </cfRule>
    <cfRule type="cellIs" dxfId="536" priority="370" stopIfTrue="1" operator="lessThan">
      <formula>-0.03</formula>
    </cfRule>
  </conditionalFormatting>
  <conditionalFormatting sqref="Y102:Z102">
    <cfRule type="cellIs" dxfId="535" priority="99" operator="greaterThan">
      <formula>0.03</formula>
    </cfRule>
    <cfRule type="cellIs" dxfId="534" priority="100" stopIfTrue="1" operator="lessThan">
      <formula>-0.03</formula>
    </cfRule>
  </conditionalFormatting>
  <conditionalFormatting sqref="Y98:Z98">
    <cfRule type="cellIs" dxfId="533" priority="101" operator="greaterThan">
      <formula>0.03</formula>
    </cfRule>
    <cfRule type="cellIs" dxfId="532" priority="102" stopIfTrue="1" operator="lessThan">
      <formula>-0.03</formula>
    </cfRule>
  </conditionalFormatting>
  <conditionalFormatting sqref="Y106:Z106">
    <cfRule type="cellIs" dxfId="531" priority="97" operator="greaterThan">
      <formula>0.03</formula>
    </cfRule>
    <cfRule type="cellIs" dxfId="530" priority="98" stopIfTrue="1" operator="lessThan">
      <formula>-0.03</formula>
    </cfRule>
  </conditionalFormatting>
  <conditionalFormatting sqref="Z83">
    <cfRule type="cellIs" dxfId="529" priority="45" operator="greaterThan">
      <formula>0.03</formula>
    </cfRule>
    <cfRule type="cellIs" dxfId="528" priority="46" stopIfTrue="1" operator="lessThan">
      <formula>-0.03</formula>
    </cfRule>
  </conditionalFormatting>
  <conditionalFormatting sqref="Z87">
    <cfRule type="cellIs" dxfId="527" priority="39" operator="greaterThan">
      <formula>0.03</formula>
    </cfRule>
    <cfRule type="cellIs" dxfId="526" priority="40" stopIfTrue="1" operator="lessThan">
      <formula>-0.03</formula>
    </cfRule>
  </conditionalFormatting>
  <conditionalFormatting sqref="Y83">
    <cfRule type="cellIs" dxfId="525" priority="47" operator="greaterThan">
      <formula>0.03</formula>
    </cfRule>
    <cfRule type="cellIs" dxfId="524" priority="48" stopIfTrue="1" operator="lessThan">
      <formula>-0.03</formula>
    </cfRule>
  </conditionalFormatting>
  <conditionalFormatting sqref="V79:X90">
    <cfRule type="cellIs" dxfId="523" priority="55" operator="greaterThan">
      <formula>0.03</formula>
    </cfRule>
    <cfRule type="cellIs" dxfId="522" priority="56" stopIfTrue="1" operator="lessThan">
      <formula>-0.03</formula>
    </cfRule>
  </conditionalFormatting>
  <conditionalFormatting sqref="AA79">
    <cfRule type="cellIs" dxfId="521" priority="49" operator="greaterThan">
      <formula>0.03</formula>
    </cfRule>
    <cfRule type="cellIs" dxfId="520" priority="50" stopIfTrue="1" operator="lessThan">
      <formula>-0.03</formula>
    </cfRule>
  </conditionalFormatting>
  <conditionalFormatting sqref="Y87">
    <cfRule type="cellIs" dxfId="519" priority="41" operator="greaterThan">
      <formula>0.03</formula>
    </cfRule>
    <cfRule type="cellIs" dxfId="518" priority="42" stopIfTrue="1" operator="lessThan">
      <formula>-0.03</formula>
    </cfRule>
  </conditionalFormatting>
  <conditionalFormatting sqref="AA87">
    <cfRule type="cellIs" dxfId="517" priority="37" operator="greaterThan">
      <formula>0.03</formula>
    </cfRule>
    <cfRule type="cellIs" dxfId="516" priority="38" stopIfTrue="1" operator="lessThan">
      <formula>-0.03</formula>
    </cfRule>
  </conditionalFormatting>
  <conditionalFormatting sqref="Y82:Z82">
    <cfRule type="cellIs" dxfId="515" priority="35" operator="greaterThan">
      <formula>0.03</formula>
    </cfRule>
    <cfRule type="cellIs" dxfId="514" priority="36" stopIfTrue="1" operator="lessThan">
      <formula>-0.03</formula>
    </cfRule>
  </conditionalFormatting>
  <conditionalFormatting sqref="Y86:Z86">
    <cfRule type="cellIs" dxfId="513" priority="33" operator="greaterThan">
      <formula>0.03</formula>
    </cfRule>
    <cfRule type="cellIs" dxfId="512" priority="34" stopIfTrue="1" operator="lessThan">
      <formula>-0.03</formula>
    </cfRule>
  </conditionalFormatting>
  <conditionalFormatting sqref="Y79">
    <cfRule type="cellIs" dxfId="511" priority="53" operator="greaterThan">
      <formula>0.03</formula>
    </cfRule>
    <cfRule type="cellIs" dxfId="510" priority="54" stopIfTrue="1" operator="lessThan">
      <formula>-0.03</formula>
    </cfRule>
  </conditionalFormatting>
  <conditionalFormatting sqref="Z79">
    <cfRule type="cellIs" dxfId="509" priority="51" operator="greaterThan">
      <formula>0.03</formula>
    </cfRule>
    <cfRule type="cellIs" dxfId="508" priority="52" stopIfTrue="1" operator="lessThan">
      <formula>-0.03</formula>
    </cfRule>
  </conditionalFormatting>
  <conditionalFormatting sqref="AA83">
    <cfRule type="cellIs" dxfId="507" priority="43" operator="greaterThan">
      <formula>0.03</formula>
    </cfRule>
    <cfRule type="cellIs" dxfId="506" priority="44" stopIfTrue="1" operator="lessThan">
      <formula>-0.03</formula>
    </cfRule>
  </conditionalFormatting>
  <conditionalFormatting sqref="Y90:Z90">
    <cfRule type="cellIs" dxfId="505" priority="31" operator="greaterThan">
      <formula>0.03</formula>
    </cfRule>
    <cfRule type="cellIs" dxfId="504" priority="32" stopIfTrue="1" operator="lessThan">
      <formula>-0.03</formula>
    </cfRule>
  </conditionalFormatting>
  <conditionalFormatting sqref="Y94:Z94">
    <cfRule type="cellIs" dxfId="503" priority="103" operator="greaterThan">
      <formula>0.03</formula>
    </cfRule>
    <cfRule type="cellIs" dxfId="502" priority="104" stopIfTrue="1" operator="lessThan">
      <formula>-0.03</formula>
    </cfRule>
  </conditionalFormatting>
  <conditionalFormatting sqref="Z103">
    <cfRule type="cellIs" dxfId="501" priority="107" operator="greaterThan">
      <formula>0.03</formula>
    </cfRule>
    <cfRule type="cellIs" dxfId="500" priority="108" stopIfTrue="1" operator="lessThan">
      <formula>-0.03</formula>
    </cfRule>
  </conditionalFormatting>
  <conditionalFormatting sqref="Y103">
    <cfRule type="cellIs" dxfId="499" priority="109" operator="greaterThan">
      <formula>0.03</formula>
    </cfRule>
    <cfRule type="cellIs" dxfId="498" priority="110" stopIfTrue="1" operator="lessThan">
      <formula>-0.03</formula>
    </cfRule>
  </conditionalFormatting>
  <conditionalFormatting sqref="AA103">
    <cfRule type="cellIs" dxfId="497" priority="105" operator="greaterThan">
      <formula>0.03</formula>
    </cfRule>
    <cfRule type="cellIs" dxfId="496" priority="106" stopIfTrue="1" operator="lessThan">
      <formula>-0.03</formula>
    </cfRule>
  </conditionalFormatting>
  <conditionalFormatting sqref="Y99">
    <cfRule type="cellIs" dxfId="495" priority="115" operator="greaterThan">
      <formula>0.03</formula>
    </cfRule>
    <cfRule type="cellIs" dxfId="494" priority="116" stopIfTrue="1" operator="lessThan">
      <formula>-0.03</formula>
    </cfRule>
  </conditionalFormatting>
  <conditionalFormatting sqref="V91:X106">
    <cfRule type="cellIs" dxfId="493" priority="129" operator="greaterThan">
      <formula>0.03</formula>
    </cfRule>
    <cfRule type="cellIs" dxfId="492" priority="130" stopIfTrue="1" operator="lessThan">
      <formula>-0.03</formula>
    </cfRule>
  </conditionalFormatting>
  <conditionalFormatting sqref="Y91">
    <cfRule type="cellIs" dxfId="491" priority="127" operator="greaterThan">
      <formula>0.03</formula>
    </cfRule>
    <cfRule type="cellIs" dxfId="490" priority="128" stopIfTrue="1" operator="lessThan">
      <formula>-0.03</formula>
    </cfRule>
  </conditionalFormatting>
  <conditionalFormatting sqref="Z91">
    <cfRule type="cellIs" dxfId="489" priority="125" operator="greaterThan">
      <formula>0.03</formula>
    </cfRule>
    <cfRule type="cellIs" dxfId="488" priority="126" stopIfTrue="1" operator="lessThan">
      <formula>-0.03</formula>
    </cfRule>
  </conditionalFormatting>
  <conditionalFormatting sqref="AA91">
    <cfRule type="cellIs" dxfId="487" priority="123" operator="greaterThan">
      <formula>0.03</formula>
    </cfRule>
    <cfRule type="cellIs" dxfId="486" priority="124" stopIfTrue="1" operator="lessThan">
      <formula>-0.03</formula>
    </cfRule>
  </conditionalFormatting>
  <conditionalFormatting sqref="Y95">
    <cfRule type="cellIs" dxfId="485" priority="121" operator="greaterThan">
      <formula>0.03</formula>
    </cfRule>
    <cfRule type="cellIs" dxfId="484" priority="122" stopIfTrue="1" operator="lessThan">
      <formula>-0.03</formula>
    </cfRule>
  </conditionalFormatting>
  <conditionalFormatting sqref="Z95">
    <cfRule type="cellIs" dxfId="483" priority="119" operator="greaterThan">
      <formula>0.03</formula>
    </cfRule>
    <cfRule type="cellIs" dxfId="482" priority="120" stopIfTrue="1" operator="lessThan">
      <formula>-0.03</formula>
    </cfRule>
  </conditionalFormatting>
  <conditionalFormatting sqref="AA95">
    <cfRule type="cellIs" dxfId="481" priority="117" operator="greaterThan">
      <formula>0.03</formula>
    </cfRule>
    <cfRule type="cellIs" dxfId="480" priority="118" stopIfTrue="1" operator="lessThan">
      <formula>-0.03</formula>
    </cfRule>
  </conditionalFormatting>
  <conditionalFormatting sqref="Z99">
    <cfRule type="cellIs" dxfId="479" priority="113" operator="greaterThan">
      <formula>0.03</formula>
    </cfRule>
    <cfRule type="cellIs" dxfId="478" priority="114" stopIfTrue="1" operator="lessThan">
      <formula>-0.03</formula>
    </cfRule>
  </conditionalFormatting>
  <conditionalFormatting sqref="AA99">
    <cfRule type="cellIs" dxfId="477" priority="111" operator="greaterThan">
      <formula>0.03</formula>
    </cfRule>
    <cfRule type="cellIs" dxfId="476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A137"/>
  <sheetViews>
    <sheetView topLeftCell="A61" workbookViewId="0"/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37</v>
      </c>
      <c r="T2" s="7" t="s">
        <v>38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/>
      <c r="E3" s="13"/>
      <c r="F3" s="13"/>
      <c r="G3" s="13"/>
      <c r="H3" s="13"/>
      <c r="I3" s="13"/>
      <c r="J3" s="14"/>
      <c r="L3" s="12"/>
      <c r="M3" s="13"/>
      <c r="N3" s="13"/>
      <c r="O3" s="13"/>
      <c r="P3" s="13"/>
      <c r="Q3" s="13"/>
      <c r="R3" s="14"/>
      <c r="S3" s="13"/>
      <c r="T3" s="13"/>
      <c r="U3" s="58"/>
      <c r="V3" s="41"/>
      <c r="W3" s="46"/>
      <c r="X3" s="47"/>
      <c r="Y3" s="41"/>
      <c r="Z3" s="46"/>
      <c r="AA3" s="47"/>
    </row>
    <row r="4" spans="1:27" x14ac:dyDescent="0.2">
      <c r="A4" s="16" t="s">
        <v>44</v>
      </c>
      <c r="B4" s="16"/>
      <c r="C4" s="16">
        <v>27</v>
      </c>
      <c r="D4" s="17"/>
      <c r="E4" s="18"/>
      <c r="F4" s="18"/>
      <c r="G4" s="18"/>
      <c r="H4" s="18"/>
      <c r="I4" s="18"/>
      <c r="J4" s="19"/>
      <c r="L4" s="17"/>
      <c r="M4" s="18"/>
      <c r="N4" s="18"/>
      <c r="O4" s="18"/>
      <c r="P4" s="18"/>
      <c r="Q4" s="18"/>
      <c r="R4" s="19"/>
      <c r="S4" s="18"/>
      <c r="T4" s="18"/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/>
      <c r="E5" s="18"/>
      <c r="F5" s="18"/>
      <c r="G5" s="18"/>
      <c r="H5" s="18"/>
      <c r="I5" s="18"/>
      <c r="J5" s="19"/>
      <c r="L5" s="17"/>
      <c r="M5" s="18"/>
      <c r="N5" s="18"/>
      <c r="O5" s="18"/>
      <c r="P5" s="18"/>
      <c r="Q5" s="18"/>
      <c r="R5" s="19"/>
      <c r="S5" s="18"/>
      <c r="T5" s="18"/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/>
      <c r="E6" s="23"/>
      <c r="F6" s="23"/>
      <c r="G6" s="23"/>
      <c r="H6" s="23"/>
      <c r="I6" s="23"/>
      <c r="J6" s="24"/>
      <c r="L6" s="22"/>
      <c r="M6" s="23"/>
      <c r="N6" s="23"/>
      <c r="O6" s="23"/>
      <c r="P6" s="23"/>
      <c r="Q6" s="23"/>
      <c r="R6" s="24"/>
      <c r="S6" s="18"/>
      <c r="T6" s="18"/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/>
      <c r="E7" s="13"/>
      <c r="F7" s="13"/>
      <c r="G7" s="13"/>
      <c r="H7" s="13"/>
      <c r="I7" s="13"/>
      <c r="J7" s="14"/>
      <c r="L7" s="12"/>
      <c r="M7" s="13"/>
      <c r="N7" s="13"/>
      <c r="O7" s="13"/>
      <c r="P7" s="13"/>
      <c r="Q7" s="13"/>
      <c r="R7" s="14"/>
      <c r="S7" s="18"/>
      <c r="T7" s="18"/>
      <c r="U7" s="59"/>
      <c r="V7" s="41"/>
      <c r="W7" s="46"/>
      <c r="X7" s="46"/>
      <c r="Y7" s="44"/>
      <c r="Z7" s="48"/>
      <c r="AA7" s="49"/>
    </row>
    <row r="8" spans="1:27" x14ac:dyDescent="0.2">
      <c r="A8" s="16"/>
      <c r="B8" s="16"/>
      <c r="C8" s="16">
        <v>27</v>
      </c>
      <c r="D8" s="17"/>
      <c r="E8" s="18"/>
      <c r="F8" s="18"/>
      <c r="G8" s="18"/>
      <c r="H8" s="18"/>
      <c r="I8" s="18"/>
      <c r="J8" s="19"/>
      <c r="L8" s="17"/>
      <c r="M8" s="18"/>
      <c r="N8" s="18"/>
      <c r="O8" s="18"/>
      <c r="P8" s="18"/>
      <c r="Q8" s="18"/>
      <c r="R8" s="19"/>
      <c r="S8" s="18"/>
      <c r="T8" s="18"/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/>
      <c r="E9" s="18"/>
      <c r="F9" s="18"/>
      <c r="G9" s="18"/>
      <c r="H9" s="18"/>
      <c r="I9" s="18"/>
      <c r="J9" s="19"/>
      <c r="L9" s="17"/>
      <c r="M9" s="18"/>
      <c r="N9" s="18"/>
      <c r="O9" s="18"/>
      <c r="P9" s="18"/>
      <c r="Q9" s="18"/>
      <c r="R9" s="19"/>
      <c r="S9" s="18"/>
      <c r="T9" s="18"/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/>
      <c r="E10" s="23"/>
      <c r="F10" s="23"/>
      <c r="G10" s="23"/>
      <c r="H10" s="23"/>
      <c r="I10" s="23"/>
      <c r="J10" s="24"/>
      <c r="L10" s="22"/>
      <c r="M10" s="23"/>
      <c r="N10" s="23"/>
      <c r="O10" s="23"/>
      <c r="P10" s="23"/>
      <c r="Q10" s="23"/>
      <c r="R10" s="24"/>
      <c r="S10" s="18"/>
      <c r="T10" s="18"/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/>
      <c r="E11" s="13"/>
      <c r="F11" s="13"/>
      <c r="G11" s="13"/>
      <c r="H11" s="13"/>
      <c r="I11" s="13"/>
      <c r="J11" s="14"/>
      <c r="L11" s="12"/>
      <c r="M11" s="13"/>
      <c r="N11" s="13"/>
      <c r="O11" s="13"/>
      <c r="P11" s="13"/>
      <c r="Q11" s="13"/>
      <c r="R11" s="14"/>
      <c r="S11" s="18"/>
      <c r="T11" s="18"/>
      <c r="U11" s="59"/>
      <c r="V11" s="41"/>
      <c r="W11" s="46"/>
      <c r="X11" s="46"/>
      <c r="Y11" s="44"/>
      <c r="Z11" s="48"/>
      <c r="AA11" s="49"/>
    </row>
    <row r="12" spans="1:27" x14ac:dyDescent="0.2">
      <c r="A12" s="35"/>
      <c r="B12" s="35"/>
      <c r="C12" s="35">
        <v>27</v>
      </c>
      <c r="D12" s="17"/>
      <c r="E12" s="18"/>
      <c r="F12" s="18"/>
      <c r="G12" s="18"/>
      <c r="H12" s="18"/>
      <c r="I12" s="18"/>
      <c r="J12" s="19"/>
      <c r="L12" s="17"/>
      <c r="M12" s="18"/>
      <c r="N12" s="18"/>
      <c r="O12" s="18"/>
      <c r="P12" s="18"/>
      <c r="Q12" s="18"/>
      <c r="R12" s="19"/>
      <c r="S12" s="18"/>
      <c r="T12" s="18"/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/>
      <c r="E13" s="18"/>
      <c r="F13" s="18"/>
      <c r="G13" s="18"/>
      <c r="H13" s="18"/>
      <c r="I13" s="18"/>
      <c r="J13" s="19"/>
      <c r="L13" s="17"/>
      <c r="M13" s="18"/>
      <c r="N13" s="18"/>
      <c r="O13" s="18"/>
      <c r="P13" s="18"/>
      <c r="Q13" s="18"/>
      <c r="R13" s="19"/>
      <c r="S13" s="18"/>
      <c r="T13" s="18"/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/>
      <c r="E14" s="23"/>
      <c r="F14" s="23"/>
      <c r="G14" s="23"/>
      <c r="H14" s="23"/>
      <c r="I14" s="23"/>
      <c r="J14" s="24"/>
      <c r="L14" s="22"/>
      <c r="M14" s="23"/>
      <c r="N14" s="23"/>
      <c r="O14" s="23"/>
      <c r="P14" s="23"/>
      <c r="Q14" s="23"/>
      <c r="R14" s="24"/>
      <c r="S14" s="18"/>
      <c r="T14" s="18"/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/>
      <c r="E15" s="13"/>
      <c r="F15" s="13"/>
      <c r="G15" s="13"/>
      <c r="H15" s="13"/>
      <c r="I15" s="13"/>
      <c r="J15" s="14"/>
      <c r="L15" s="12"/>
      <c r="M15" s="13"/>
      <c r="N15" s="13"/>
      <c r="O15" s="13"/>
      <c r="P15" s="13"/>
      <c r="Q15" s="13"/>
      <c r="R15" s="14"/>
      <c r="S15" s="13"/>
      <c r="T15" s="13"/>
      <c r="U15" s="58"/>
      <c r="V15" s="41"/>
      <c r="W15" s="46"/>
      <c r="X15" s="47"/>
      <c r="Y15" s="41"/>
      <c r="Z15" s="46"/>
      <c r="AA15" s="47"/>
    </row>
    <row r="16" spans="1:27" x14ac:dyDescent="0.2">
      <c r="A16" s="16" t="s">
        <v>44</v>
      </c>
      <c r="B16" s="16"/>
      <c r="C16" s="16">
        <v>27</v>
      </c>
      <c r="D16" s="17"/>
      <c r="E16" s="18"/>
      <c r="F16" s="18"/>
      <c r="G16" s="18"/>
      <c r="H16" s="18"/>
      <c r="I16" s="18"/>
      <c r="J16" s="19"/>
      <c r="L16" s="17"/>
      <c r="M16" s="18"/>
      <c r="N16" s="18"/>
      <c r="O16" s="18"/>
      <c r="P16" s="18"/>
      <c r="Q16" s="18"/>
      <c r="R16" s="19"/>
      <c r="S16" s="18"/>
      <c r="T16" s="18"/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/>
      <c r="E17" s="18"/>
      <c r="F17" s="18"/>
      <c r="G17" s="18"/>
      <c r="H17" s="18"/>
      <c r="I17" s="18"/>
      <c r="J17" s="19"/>
      <c r="L17" s="17"/>
      <c r="M17" s="18"/>
      <c r="N17" s="18"/>
      <c r="O17" s="18"/>
      <c r="P17" s="18"/>
      <c r="Q17" s="18"/>
      <c r="R17" s="19"/>
      <c r="S17" s="18"/>
      <c r="T17" s="18"/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/>
      <c r="E18" s="23"/>
      <c r="F18" s="23"/>
      <c r="G18" s="23"/>
      <c r="H18" s="23"/>
      <c r="I18" s="23"/>
      <c r="J18" s="24"/>
      <c r="L18" s="22"/>
      <c r="M18" s="23"/>
      <c r="N18" s="23"/>
      <c r="O18" s="23"/>
      <c r="P18" s="23"/>
      <c r="Q18" s="23"/>
      <c r="R18" s="24"/>
      <c r="S18" s="18"/>
      <c r="T18" s="18"/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/>
      <c r="E19" s="13"/>
      <c r="F19" s="13"/>
      <c r="G19" s="13"/>
      <c r="H19" s="13"/>
      <c r="I19" s="13"/>
      <c r="J19" s="14"/>
      <c r="L19" s="12"/>
      <c r="M19" s="13"/>
      <c r="N19" s="13"/>
      <c r="O19" s="13"/>
      <c r="P19" s="13"/>
      <c r="Q19" s="13"/>
      <c r="R19" s="14"/>
      <c r="S19" s="18"/>
      <c r="T19" s="18"/>
      <c r="U19" s="59"/>
      <c r="V19" s="41"/>
      <c r="W19" s="46"/>
      <c r="X19" s="46"/>
      <c r="Y19" s="44"/>
      <c r="Z19" s="48"/>
      <c r="AA19" s="49"/>
    </row>
    <row r="20" spans="1:27" x14ac:dyDescent="0.2">
      <c r="A20" s="16"/>
      <c r="B20" s="16"/>
      <c r="C20" s="16">
        <v>27</v>
      </c>
      <c r="D20" s="17"/>
      <c r="E20" s="18"/>
      <c r="F20" s="18"/>
      <c r="G20" s="18"/>
      <c r="H20" s="18"/>
      <c r="I20" s="18"/>
      <c r="J20" s="19"/>
      <c r="L20" s="17"/>
      <c r="M20" s="18"/>
      <c r="N20" s="18"/>
      <c r="O20" s="18"/>
      <c r="P20" s="18"/>
      <c r="Q20" s="18"/>
      <c r="R20" s="19"/>
      <c r="S20" s="18"/>
      <c r="T20" s="18"/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/>
      <c r="E21" s="18"/>
      <c r="F21" s="18"/>
      <c r="G21" s="18"/>
      <c r="H21" s="18"/>
      <c r="I21" s="18"/>
      <c r="J21" s="19"/>
      <c r="L21" s="17"/>
      <c r="M21" s="18"/>
      <c r="N21" s="18"/>
      <c r="O21" s="18"/>
      <c r="P21" s="18"/>
      <c r="Q21" s="18"/>
      <c r="R21" s="19"/>
      <c r="S21" s="18"/>
      <c r="T21" s="18"/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/>
      <c r="E22" s="23"/>
      <c r="F22" s="23"/>
      <c r="G22" s="23"/>
      <c r="H22" s="23"/>
      <c r="I22" s="23"/>
      <c r="J22" s="24"/>
      <c r="L22" s="22"/>
      <c r="M22" s="23"/>
      <c r="N22" s="23"/>
      <c r="O22" s="23"/>
      <c r="P22" s="23"/>
      <c r="Q22" s="23"/>
      <c r="R22" s="24"/>
      <c r="S22" s="18"/>
      <c r="T22" s="18"/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/>
      <c r="E23" s="13"/>
      <c r="F23" s="13"/>
      <c r="G23" s="13"/>
      <c r="H23" s="13"/>
      <c r="I23" s="13"/>
      <c r="J23" s="14"/>
      <c r="L23" s="12"/>
      <c r="M23" s="13"/>
      <c r="N23" s="13"/>
      <c r="O23" s="13"/>
      <c r="P23" s="13"/>
      <c r="Q23" s="13"/>
      <c r="R23" s="14"/>
      <c r="S23" s="18"/>
      <c r="T23" s="18"/>
      <c r="U23" s="59"/>
      <c r="V23" s="41"/>
      <c r="W23" s="46"/>
      <c r="X23" s="46"/>
      <c r="Y23" s="44"/>
      <c r="Z23" s="48"/>
      <c r="AA23" s="49"/>
    </row>
    <row r="24" spans="1:27" x14ac:dyDescent="0.2">
      <c r="A24" s="35"/>
      <c r="B24" s="16"/>
      <c r="C24" s="35">
        <v>27</v>
      </c>
      <c r="D24" s="17"/>
      <c r="E24" s="18"/>
      <c r="F24" s="18"/>
      <c r="G24" s="18"/>
      <c r="H24" s="18"/>
      <c r="I24" s="18"/>
      <c r="J24" s="19"/>
      <c r="L24" s="17"/>
      <c r="M24" s="18"/>
      <c r="N24" s="18"/>
      <c r="O24" s="18"/>
      <c r="P24" s="18"/>
      <c r="Q24" s="18"/>
      <c r="R24" s="19"/>
      <c r="S24" s="18"/>
      <c r="T24" s="18"/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/>
      <c r="E25" s="18"/>
      <c r="F25" s="18"/>
      <c r="G25" s="18"/>
      <c r="H25" s="18"/>
      <c r="I25" s="18"/>
      <c r="J25" s="19"/>
      <c r="L25" s="17"/>
      <c r="M25" s="18"/>
      <c r="N25" s="18"/>
      <c r="O25" s="18"/>
      <c r="P25" s="18"/>
      <c r="Q25" s="18"/>
      <c r="R25" s="19"/>
      <c r="S25" s="18"/>
      <c r="T25" s="18"/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/>
      <c r="E26" s="23"/>
      <c r="F26" s="23"/>
      <c r="G26" s="23"/>
      <c r="H26" s="23"/>
      <c r="I26" s="23"/>
      <c r="J26" s="24"/>
      <c r="L26" s="22"/>
      <c r="M26" s="23"/>
      <c r="N26" s="23"/>
      <c r="O26" s="23"/>
      <c r="P26" s="23"/>
      <c r="Q26" s="23"/>
      <c r="R26" s="24"/>
      <c r="S26" s="18"/>
      <c r="T26" s="18"/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Reference!B233</f>
        <v>0</v>
      </c>
      <c r="E27" s="13">
        <f>Reference!C233</f>
        <v>0</v>
      </c>
      <c r="F27" s="13">
        <f>Reference!D233</f>
        <v>0</v>
      </c>
      <c r="G27" s="13">
        <f>Reference!E233</f>
        <v>0</v>
      </c>
      <c r="H27" s="13">
        <f>Reference!F233</f>
        <v>0</v>
      </c>
      <c r="I27" s="13">
        <f>Reference!G233</f>
        <v>0</v>
      </c>
      <c r="J27" s="14">
        <f t="shared" ref="J27" si="0">H27/3600</f>
        <v>0</v>
      </c>
      <c r="L27" s="12">
        <f>Test!B233</f>
        <v>0</v>
      </c>
      <c r="M27" s="13">
        <f>Test!C233</f>
        <v>0</v>
      </c>
      <c r="N27" s="13">
        <f>Test!D233</f>
        <v>0</v>
      </c>
      <c r="O27" s="13">
        <f>Test!E233</f>
        <v>0</v>
      </c>
      <c r="P27" s="13">
        <f>Test!F233</f>
        <v>0</v>
      </c>
      <c r="Q27" s="13">
        <f>Test!G233</f>
        <v>0</v>
      </c>
      <c r="R27" s="14">
        <f t="shared" ref="R27:R79" si="1">P27/3600</f>
        <v>0</v>
      </c>
      <c r="S27" s="13" t="e">
        <f t="shared" ref="S27:T46" si="2">P27/H27</f>
        <v>#DIV/0!</v>
      </c>
      <c r="T27" s="13" t="e">
        <f t="shared" si="2"/>
        <v>#DIV/0!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 x14ac:dyDescent="0.2">
      <c r="A28" s="16" t="s">
        <v>45</v>
      </c>
      <c r="B28" s="16"/>
      <c r="C28" s="16">
        <v>27</v>
      </c>
      <c r="D28" s="17">
        <f>Reference!B234</f>
        <v>0</v>
      </c>
      <c r="E28" s="18">
        <f>Reference!C234</f>
        <v>0</v>
      </c>
      <c r="F28" s="18">
        <f>Reference!D234</f>
        <v>0</v>
      </c>
      <c r="G28" s="18">
        <f>Reference!E234</f>
        <v>0</v>
      </c>
      <c r="H28" s="18">
        <f>Reference!F234</f>
        <v>0</v>
      </c>
      <c r="I28" s="18">
        <f>Reference!G234</f>
        <v>0</v>
      </c>
      <c r="J28" s="19">
        <f t="shared" ref="J28:J91" si="3">H28/3600</f>
        <v>0</v>
      </c>
      <c r="L28" s="17">
        <f>Test!B234</f>
        <v>0</v>
      </c>
      <c r="M28" s="18">
        <f>Test!C234</f>
        <v>0</v>
      </c>
      <c r="N28" s="18">
        <f>Test!D234</f>
        <v>0</v>
      </c>
      <c r="O28" s="18">
        <f>Test!E234</f>
        <v>0</v>
      </c>
      <c r="P28" s="18">
        <f>Test!F234</f>
        <v>0</v>
      </c>
      <c r="Q28" s="18">
        <f>Test!G234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Reference!B235</f>
        <v>0</v>
      </c>
      <c r="E29" s="18">
        <f>Reference!C235</f>
        <v>0</v>
      </c>
      <c r="F29" s="18">
        <f>Reference!D235</f>
        <v>0</v>
      </c>
      <c r="G29" s="18">
        <f>Reference!E235</f>
        <v>0</v>
      </c>
      <c r="H29" s="18">
        <f>Reference!F235</f>
        <v>0</v>
      </c>
      <c r="I29" s="18">
        <f>Reference!G235</f>
        <v>0</v>
      </c>
      <c r="J29" s="19">
        <f t="shared" si="3"/>
        <v>0</v>
      </c>
      <c r="L29" s="17">
        <f>Test!B235</f>
        <v>0</v>
      </c>
      <c r="M29" s="18">
        <f>Test!C235</f>
        <v>0</v>
      </c>
      <c r="N29" s="18">
        <f>Test!D235</f>
        <v>0</v>
      </c>
      <c r="O29" s="18">
        <f>Test!E235</f>
        <v>0</v>
      </c>
      <c r="P29" s="18">
        <f>Test!F235</f>
        <v>0</v>
      </c>
      <c r="Q29" s="18">
        <f>Test!G235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Reference!B236</f>
        <v>0</v>
      </c>
      <c r="E30" s="23">
        <f>Reference!C236</f>
        <v>0</v>
      </c>
      <c r="F30" s="23">
        <f>Reference!D236</f>
        <v>0</v>
      </c>
      <c r="G30" s="23">
        <f>Reference!E236</f>
        <v>0</v>
      </c>
      <c r="H30" s="23">
        <f>Reference!F236</f>
        <v>0</v>
      </c>
      <c r="I30" s="23">
        <f>Reference!G236</f>
        <v>0</v>
      </c>
      <c r="J30" s="24">
        <f t="shared" si="3"/>
        <v>0</v>
      </c>
      <c r="L30" s="22">
        <f>Test!B236</f>
        <v>0</v>
      </c>
      <c r="M30" s="23">
        <f>Test!C236</f>
        <v>0</v>
      </c>
      <c r="N30" s="23">
        <f>Test!D236</f>
        <v>0</v>
      </c>
      <c r="O30" s="23">
        <f>Test!E236</f>
        <v>0</v>
      </c>
      <c r="P30" s="23">
        <f>Test!F236</f>
        <v>0</v>
      </c>
      <c r="Q30" s="23">
        <f>Test!G236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Reference!B237</f>
        <v>0</v>
      </c>
      <c r="E31" s="13">
        <f>Reference!C237</f>
        <v>0</v>
      </c>
      <c r="F31" s="13">
        <f>Reference!D237</f>
        <v>0</v>
      </c>
      <c r="G31" s="13">
        <f>Reference!E237</f>
        <v>0</v>
      </c>
      <c r="H31" s="13">
        <f>Reference!F237</f>
        <v>0</v>
      </c>
      <c r="I31" s="13">
        <f>Reference!G237</f>
        <v>0</v>
      </c>
      <c r="J31" s="14">
        <f t="shared" si="3"/>
        <v>0</v>
      </c>
      <c r="L31" s="12">
        <f>Test!B237</f>
        <v>0</v>
      </c>
      <c r="M31" s="13">
        <f>Test!C237</f>
        <v>0</v>
      </c>
      <c r="N31" s="13">
        <f>Test!D237</f>
        <v>0</v>
      </c>
      <c r="O31" s="13">
        <f>Test!E237</f>
        <v>0</v>
      </c>
      <c r="P31" s="13">
        <f>Test!F237</f>
        <v>0</v>
      </c>
      <c r="Q31" s="13">
        <f>Test!G237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 x14ac:dyDescent="0.2">
      <c r="A32" s="16"/>
      <c r="B32" s="16"/>
      <c r="C32" s="16">
        <v>27</v>
      </c>
      <c r="D32" s="17">
        <f>Reference!B238</f>
        <v>0</v>
      </c>
      <c r="E32" s="18">
        <f>Reference!C238</f>
        <v>0</v>
      </c>
      <c r="F32" s="18">
        <f>Reference!D238</f>
        <v>0</v>
      </c>
      <c r="G32" s="18">
        <f>Reference!E238</f>
        <v>0</v>
      </c>
      <c r="H32" s="18">
        <f>Reference!F238</f>
        <v>0</v>
      </c>
      <c r="I32" s="18">
        <f>Reference!G238</f>
        <v>0</v>
      </c>
      <c r="J32" s="19">
        <f t="shared" si="3"/>
        <v>0</v>
      </c>
      <c r="L32" s="17">
        <f>Test!B238</f>
        <v>0</v>
      </c>
      <c r="M32" s="18">
        <f>Test!C238</f>
        <v>0</v>
      </c>
      <c r="N32" s="18">
        <f>Test!D238</f>
        <v>0</v>
      </c>
      <c r="O32" s="18">
        <f>Test!E238</f>
        <v>0</v>
      </c>
      <c r="P32" s="18">
        <f>Test!F238</f>
        <v>0</v>
      </c>
      <c r="Q32" s="18">
        <f>Test!G238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Reference!B239</f>
        <v>0</v>
      </c>
      <c r="E33" s="18">
        <f>Reference!C239</f>
        <v>0</v>
      </c>
      <c r="F33" s="18">
        <f>Reference!D239</f>
        <v>0</v>
      </c>
      <c r="G33" s="18">
        <f>Reference!E239</f>
        <v>0</v>
      </c>
      <c r="H33" s="18">
        <f>Reference!F239</f>
        <v>0</v>
      </c>
      <c r="I33" s="18">
        <f>Reference!G239</f>
        <v>0</v>
      </c>
      <c r="J33" s="19">
        <f t="shared" si="3"/>
        <v>0</v>
      </c>
      <c r="L33" s="17">
        <f>Test!B239</f>
        <v>0</v>
      </c>
      <c r="M33" s="18">
        <f>Test!C239</f>
        <v>0</v>
      </c>
      <c r="N33" s="18">
        <f>Test!D239</f>
        <v>0</v>
      </c>
      <c r="O33" s="18">
        <f>Test!E239</f>
        <v>0</v>
      </c>
      <c r="P33" s="18">
        <f>Test!F239</f>
        <v>0</v>
      </c>
      <c r="Q33" s="18">
        <f>Test!G239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Reference!B240</f>
        <v>0</v>
      </c>
      <c r="E34" s="23">
        <f>Reference!C240</f>
        <v>0</v>
      </c>
      <c r="F34" s="23">
        <f>Reference!D240</f>
        <v>0</v>
      </c>
      <c r="G34" s="23">
        <f>Reference!E240</f>
        <v>0</v>
      </c>
      <c r="H34" s="23">
        <f>Reference!F240</f>
        <v>0</v>
      </c>
      <c r="I34" s="23">
        <f>Reference!G240</f>
        <v>0</v>
      </c>
      <c r="J34" s="24">
        <f t="shared" si="3"/>
        <v>0</v>
      </c>
      <c r="L34" s="22">
        <f>Test!B240</f>
        <v>0</v>
      </c>
      <c r="M34" s="23">
        <f>Test!C240</f>
        <v>0</v>
      </c>
      <c r="N34" s="23">
        <f>Test!D240</f>
        <v>0</v>
      </c>
      <c r="O34" s="23">
        <f>Test!E240</f>
        <v>0</v>
      </c>
      <c r="P34" s="23">
        <f>Test!F240</f>
        <v>0</v>
      </c>
      <c r="Q34" s="23">
        <f>Test!G240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Reference!B241</f>
        <v>20045.9264</v>
      </c>
      <c r="E35" s="13">
        <f>Reference!C241</f>
        <v>38.689599999999999</v>
      </c>
      <c r="F35" s="13">
        <f>Reference!D241</f>
        <v>40.098799999999997</v>
      </c>
      <c r="G35" s="13">
        <f>Reference!E241</f>
        <v>43.359900000000003</v>
      </c>
      <c r="H35" s="13">
        <f>Reference!F241</f>
        <v>27368.031999999999</v>
      </c>
      <c r="I35" s="13">
        <f>Reference!G241</f>
        <v>0</v>
      </c>
      <c r="J35" s="14">
        <f t="shared" si="3"/>
        <v>7.6022311111111112</v>
      </c>
      <c r="L35" s="12">
        <f>Test!B241</f>
        <v>0</v>
      </c>
      <c r="M35" s="13">
        <f>Test!C241</f>
        <v>0</v>
      </c>
      <c r="N35" s="13">
        <f>Test!D241</f>
        <v>0</v>
      </c>
      <c r="O35" s="13">
        <f>Test!E241</f>
        <v>0</v>
      </c>
      <c r="P35" s="13">
        <f>Test!F241</f>
        <v>0</v>
      </c>
      <c r="Q35" s="13">
        <f>Test!G241</f>
        <v>0</v>
      </c>
      <c r="R35" s="14">
        <f t="shared" si="1"/>
        <v>0</v>
      </c>
      <c r="S35" s="18">
        <f t="shared" si="2"/>
        <v>0</v>
      </c>
      <c r="T35" s="18" t="e">
        <f t="shared" si="2"/>
        <v>#DIV/0!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 x14ac:dyDescent="0.2">
      <c r="A36" s="16"/>
      <c r="B36" s="16"/>
      <c r="C36" s="16">
        <v>27</v>
      </c>
      <c r="D36" s="17">
        <f>Reference!B242</f>
        <v>5731.3879999999999</v>
      </c>
      <c r="E36" s="18">
        <f>Reference!C242</f>
        <v>36.701999999999998</v>
      </c>
      <c r="F36" s="18">
        <f>Reference!D242</f>
        <v>38.886200000000002</v>
      </c>
      <c r="G36" s="18">
        <f>Reference!E242</f>
        <v>41.406399999999998</v>
      </c>
      <c r="H36" s="18">
        <f>Reference!F242</f>
        <v>21093.71</v>
      </c>
      <c r="I36" s="18">
        <f>Reference!G242</f>
        <v>0</v>
      </c>
      <c r="J36" s="19">
        <f t="shared" si="3"/>
        <v>5.8593638888888888</v>
      </c>
      <c r="L36" s="17">
        <f>Test!B242</f>
        <v>0</v>
      </c>
      <c r="M36" s="18">
        <f>Test!C242</f>
        <v>0</v>
      </c>
      <c r="N36" s="18">
        <f>Test!D242</f>
        <v>0</v>
      </c>
      <c r="O36" s="18">
        <f>Test!E242</f>
        <v>0</v>
      </c>
      <c r="P36" s="18">
        <f>Test!F242</f>
        <v>0</v>
      </c>
      <c r="Q36" s="18">
        <f>Test!G242</f>
        <v>0</v>
      </c>
      <c r="R36" s="19">
        <f t="shared" si="1"/>
        <v>0</v>
      </c>
      <c r="S36" s="18">
        <f t="shared" si="2"/>
        <v>0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Reference!B243</f>
        <v>2574.5279999999998</v>
      </c>
      <c r="E37" s="18">
        <f>Reference!C243</f>
        <v>34.561399999999999</v>
      </c>
      <c r="F37" s="18">
        <f>Reference!D243</f>
        <v>37.917200000000001</v>
      </c>
      <c r="G37" s="18">
        <f>Reference!E243</f>
        <v>39.781300000000002</v>
      </c>
      <c r="H37" s="18">
        <f>Reference!F243</f>
        <v>18648.613000000001</v>
      </c>
      <c r="I37" s="18">
        <f>Reference!G243</f>
        <v>0</v>
      </c>
      <c r="J37" s="19">
        <f t="shared" si="3"/>
        <v>5.1801702777777781</v>
      </c>
      <c r="L37" s="17">
        <f>Test!B243</f>
        <v>0</v>
      </c>
      <c r="M37" s="18">
        <f>Test!C243</f>
        <v>0</v>
      </c>
      <c r="N37" s="18">
        <f>Test!D243</f>
        <v>0</v>
      </c>
      <c r="O37" s="18">
        <f>Test!E243</f>
        <v>0</v>
      </c>
      <c r="P37" s="18">
        <f>Test!F243</f>
        <v>0</v>
      </c>
      <c r="Q37" s="18">
        <f>Test!G243</f>
        <v>0</v>
      </c>
      <c r="R37" s="19">
        <f t="shared" si="1"/>
        <v>0</v>
      </c>
      <c r="S37" s="18">
        <f t="shared" si="2"/>
        <v>0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Reference!B244</f>
        <v>1269.2031999999999</v>
      </c>
      <c r="E38" s="23">
        <f>Reference!C244</f>
        <v>32.259500000000003</v>
      </c>
      <c r="F38" s="23">
        <f>Reference!D244</f>
        <v>37.174799999999998</v>
      </c>
      <c r="G38" s="23">
        <f>Reference!E244</f>
        <v>38.562600000000003</v>
      </c>
      <c r="H38" s="23">
        <f>Reference!F244</f>
        <v>17270.069</v>
      </c>
      <c r="I38" s="23">
        <f>Reference!G244</f>
        <v>0</v>
      </c>
      <c r="J38" s="24">
        <f t="shared" si="3"/>
        <v>4.7972413888888887</v>
      </c>
      <c r="L38" s="22">
        <f>Test!B244</f>
        <v>0</v>
      </c>
      <c r="M38" s="23">
        <f>Test!C244</f>
        <v>0</v>
      </c>
      <c r="N38" s="23">
        <f>Test!D244</f>
        <v>0</v>
      </c>
      <c r="O38" s="23">
        <f>Test!E244</f>
        <v>0</v>
      </c>
      <c r="P38" s="23">
        <f>Test!F244</f>
        <v>0</v>
      </c>
      <c r="Q38" s="23">
        <f>Test!G244</f>
        <v>0</v>
      </c>
      <c r="R38" s="24">
        <f t="shared" si="1"/>
        <v>0</v>
      </c>
      <c r="S38" s="18">
        <f t="shared" si="2"/>
        <v>0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Reference!B245</f>
        <v>19836.4696</v>
      </c>
      <c r="E39" s="13">
        <f>Reference!C245</f>
        <v>39.417299999999997</v>
      </c>
      <c r="F39" s="13">
        <f>Reference!D245</f>
        <v>43.628399999999999</v>
      </c>
      <c r="G39" s="13">
        <f>Reference!E245</f>
        <v>44.829599999999999</v>
      </c>
      <c r="H39" s="13">
        <f>Reference!F245</f>
        <v>30278.527999999998</v>
      </c>
      <c r="I39" s="13">
        <f>Reference!G245</f>
        <v>0</v>
      </c>
      <c r="J39" s="14">
        <f t="shared" si="3"/>
        <v>8.4107022222222216</v>
      </c>
      <c r="L39" s="12">
        <f>Test!B245</f>
        <v>0</v>
      </c>
      <c r="M39" s="13">
        <f>Test!C245</f>
        <v>0</v>
      </c>
      <c r="N39" s="13">
        <f>Test!D245</f>
        <v>0</v>
      </c>
      <c r="O39" s="13">
        <f>Test!E245</f>
        <v>0</v>
      </c>
      <c r="P39" s="13">
        <f>Test!F245</f>
        <v>0</v>
      </c>
      <c r="Q39" s="13">
        <f>Test!G245</f>
        <v>0</v>
      </c>
      <c r="R39" s="14">
        <f t="shared" si="1"/>
        <v>0</v>
      </c>
      <c r="S39" s="18">
        <f t="shared" si="2"/>
        <v>0</v>
      </c>
      <c r="T39" s="18" t="e">
        <f t="shared" si="2"/>
        <v>#DIV/0!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 x14ac:dyDescent="0.2">
      <c r="A40" s="16"/>
      <c r="B40" s="16"/>
      <c r="C40" s="16">
        <v>27</v>
      </c>
      <c r="D40" s="17">
        <f>Reference!B246</f>
        <v>6748.9344000000001</v>
      </c>
      <c r="E40" s="18">
        <f>Reference!C246</f>
        <v>37.497199999999999</v>
      </c>
      <c r="F40" s="18">
        <f>Reference!D246</f>
        <v>42.197800000000001</v>
      </c>
      <c r="G40" s="18">
        <f>Reference!E246</f>
        <v>42.661200000000001</v>
      </c>
      <c r="H40" s="18">
        <f>Reference!F246</f>
        <v>24652.207999999999</v>
      </c>
      <c r="I40" s="18">
        <f>Reference!G246</f>
        <v>0</v>
      </c>
      <c r="J40" s="19">
        <f t="shared" si="3"/>
        <v>6.8478355555555552</v>
      </c>
      <c r="L40" s="17">
        <f>Test!B246</f>
        <v>0</v>
      </c>
      <c r="M40" s="18">
        <f>Test!C246</f>
        <v>0</v>
      </c>
      <c r="N40" s="18">
        <f>Test!D246</f>
        <v>0</v>
      </c>
      <c r="O40" s="18">
        <f>Test!E246</f>
        <v>0</v>
      </c>
      <c r="P40" s="18">
        <f>Test!F246</f>
        <v>0</v>
      </c>
      <c r="Q40" s="18">
        <f>Test!G246</f>
        <v>0</v>
      </c>
      <c r="R40" s="19">
        <f t="shared" si="1"/>
        <v>0</v>
      </c>
      <c r="S40" s="18">
        <f t="shared" si="2"/>
        <v>0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Reference!B247</f>
        <v>3113.1759999999999</v>
      </c>
      <c r="E41" s="18">
        <f>Reference!C247</f>
        <v>35.514499999999998</v>
      </c>
      <c r="F41" s="18">
        <f>Reference!D247</f>
        <v>40.826099999999997</v>
      </c>
      <c r="G41" s="18">
        <f>Reference!E247</f>
        <v>40.704799999999999</v>
      </c>
      <c r="H41" s="18">
        <f>Reference!F247</f>
        <v>21607.21</v>
      </c>
      <c r="I41" s="18">
        <f>Reference!G247</f>
        <v>0</v>
      </c>
      <c r="J41" s="19">
        <f t="shared" si="3"/>
        <v>6.0020027777777774</v>
      </c>
      <c r="L41" s="17">
        <f>Test!B247</f>
        <v>0</v>
      </c>
      <c r="M41" s="18">
        <f>Test!C247</f>
        <v>0</v>
      </c>
      <c r="N41" s="18">
        <f>Test!D247</f>
        <v>0</v>
      </c>
      <c r="O41" s="18">
        <f>Test!E247</f>
        <v>0</v>
      </c>
      <c r="P41" s="18">
        <f>Test!F247</f>
        <v>0</v>
      </c>
      <c r="Q41" s="18">
        <f>Test!G247</f>
        <v>0</v>
      </c>
      <c r="R41" s="19">
        <f t="shared" si="1"/>
        <v>0</v>
      </c>
      <c r="S41" s="18">
        <f t="shared" si="2"/>
        <v>0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Reference!B248</f>
        <v>1584.1024</v>
      </c>
      <c r="E42" s="23">
        <f>Reference!C248</f>
        <v>33.380000000000003</v>
      </c>
      <c r="F42" s="23">
        <f>Reference!D248</f>
        <v>39.866100000000003</v>
      </c>
      <c r="G42" s="23">
        <f>Reference!E248</f>
        <v>39.383499999999998</v>
      </c>
      <c r="H42" s="23">
        <f>Reference!F248</f>
        <v>19813.150000000001</v>
      </c>
      <c r="I42" s="23">
        <f>Reference!G248</f>
        <v>0</v>
      </c>
      <c r="J42" s="24">
        <f t="shared" si="3"/>
        <v>5.5036527777777779</v>
      </c>
      <c r="L42" s="22">
        <f>Test!B248</f>
        <v>0</v>
      </c>
      <c r="M42" s="23">
        <f>Test!C248</f>
        <v>0</v>
      </c>
      <c r="N42" s="23">
        <f>Test!D248</f>
        <v>0</v>
      </c>
      <c r="O42" s="23">
        <f>Test!E248</f>
        <v>0</v>
      </c>
      <c r="P42" s="23">
        <f>Test!F248</f>
        <v>0</v>
      </c>
      <c r="Q42" s="23">
        <f>Test!G248</f>
        <v>0</v>
      </c>
      <c r="R42" s="24">
        <f t="shared" si="1"/>
        <v>0</v>
      </c>
      <c r="S42" s="18">
        <f t="shared" si="2"/>
        <v>0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Reference!B249</f>
        <v>52820.532800000001</v>
      </c>
      <c r="E43" s="13">
        <f>Reference!C249</f>
        <v>38.2425</v>
      </c>
      <c r="F43" s="13">
        <f>Reference!D249</f>
        <v>41.957900000000002</v>
      </c>
      <c r="G43" s="13">
        <f>Reference!E249</f>
        <v>44.095100000000002</v>
      </c>
      <c r="H43" s="13">
        <f>Reference!F249</f>
        <v>39510.942000000003</v>
      </c>
      <c r="I43" s="13">
        <f>Reference!G249</f>
        <v>0</v>
      </c>
      <c r="J43" s="14">
        <f t="shared" si="3"/>
        <v>10.975261666666668</v>
      </c>
      <c r="L43" s="12">
        <f>Test!B249</f>
        <v>0</v>
      </c>
      <c r="M43" s="13">
        <f>Test!C249</f>
        <v>0</v>
      </c>
      <c r="N43" s="13">
        <f>Test!D249</f>
        <v>0</v>
      </c>
      <c r="O43" s="13">
        <f>Test!E249</f>
        <v>0</v>
      </c>
      <c r="P43" s="13">
        <f>Test!F249</f>
        <v>0</v>
      </c>
      <c r="Q43" s="13">
        <f>Test!G249</f>
        <v>0</v>
      </c>
      <c r="R43" s="14">
        <f t="shared" si="1"/>
        <v>0</v>
      </c>
      <c r="S43" s="18">
        <f t="shared" si="2"/>
        <v>0</v>
      </c>
      <c r="T43" s="18" t="e">
        <f t="shared" si="2"/>
        <v>#DIV/0!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 x14ac:dyDescent="0.2">
      <c r="A44" s="16"/>
      <c r="B44" s="16"/>
      <c r="C44" s="16">
        <v>27</v>
      </c>
      <c r="D44" s="17">
        <f>Reference!B250</f>
        <v>7565.1184000000003</v>
      </c>
      <c r="E44" s="18">
        <f>Reference!C250</f>
        <v>35.403300000000002</v>
      </c>
      <c r="F44" s="18">
        <f>Reference!D250</f>
        <v>40.445999999999998</v>
      </c>
      <c r="G44" s="18">
        <f>Reference!E250</f>
        <v>42.812600000000003</v>
      </c>
      <c r="H44" s="18">
        <f>Reference!F250</f>
        <v>25089.822</v>
      </c>
      <c r="I44" s="18">
        <f>Reference!G250</f>
        <v>0</v>
      </c>
      <c r="J44" s="19">
        <f t="shared" si="3"/>
        <v>6.9693950000000005</v>
      </c>
      <c r="L44" s="17">
        <f>Test!B250</f>
        <v>0</v>
      </c>
      <c r="M44" s="18">
        <f>Test!C250</f>
        <v>0</v>
      </c>
      <c r="N44" s="18">
        <f>Test!D250</f>
        <v>0</v>
      </c>
      <c r="O44" s="18">
        <f>Test!E250</f>
        <v>0</v>
      </c>
      <c r="P44" s="18">
        <f>Test!F250</f>
        <v>0</v>
      </c>
      <c r="Q44" s="18">
        <f>Test!G250</f>
        <v>0</v>
      </c>
      <c r="R44" s="19">
        <f t="shared" si="1"/>
        <v>0</v>
      </c>
      <c r="S44" s="18">
        <f t="shared" si="2"/>
        <v>0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Reference!B251</f>
        <v>1995.0064</v>
      </c>
      <c r="E45" s="18">
        <f>Reference!C251</f>
        <v>33.582000000000001</v>
      </c>
      <c r="F45" s="18">
        <f>Reference!D251</f>
        <v>39.128399999999999</v>
      </c>
      <c r="G45" s="18">
        <f>Reference!E251</f>
        <v>41.714399999999998</v>
      </c>
      <c r="H45" s="18">
        <f>Reference!F251</f>
        <v>21121.347000000002</v>
      </c>
      <c r="I45" s="18">
        <f>Reference!G251</f>
        <v>0</v>
      </c>
      <c r="J45" s="19">
        <f t="shared" si="3"/>
        <v>5.8670408333333341</v>
      </c>
      <c r="L45" s="17">
        <f>Test!B251</f>
        <v>0</v>
      </c>
      <c r="M45" s="18">
        <f>Test!C251</f>
        <v>0</v>
      </c>
      <c r="N45" s="18">
        <f>Test!D251</f>
        <v>0</v>
      </c>
      <c r="O45" s="18">
        <f>Test!E251</f>
        <v>0</v>
      </c>
      <c r="P45" s="18">
        <f>Test!F251</f>
        <v>0</v>
      </c>
      <c r="Q45" s="18">
        <f>Test!G251</f>
        <v>0</v>
      </c>
      <c r="R45" s="19">
        <f t="shared" si="1"/>
        <v>0</v>
      </c>
      <c r="S45" s="18">
        <f t="shared" si="2"/>
        <v>0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Reference!B252</f>
        <v>762.17280000000005</v>
      </c>
      <c r="E46" s="23">
        <f>Reference!C252</f>
        <v>31.373000000000001</v>
      </c>
      <c r="F46" s="23">
        <f>Reference!D252</f>
        <v>38.250599999999999</v>
      </c>
      <c r="G46" s="23">
        <f>Reference!E252</f>
        <v>40.969700000000003</v>
      </c>
      <c r="H46" s="23">
        <f>Reference!F252</f>
        <v>19368.923999999999</v>
      </c>
      <c r="I46" s="23">
        <f>Reference!G252</f>
        <v>0</v>
      </c>
      <c r="J46" s="24">
        <f t="shared" si="3"/>
        <v>5.380256666666666</v>
      </c>
      <c r="L46" s="22">
        <f>Test!B252</f>
        <v>0</v>
      </c>
      <c r="M46" s="23">
        <f>Test!C252</f>
        <v>0</v>
      </c>
      <c r="N46" s="23">
        <f>Test!D252</f>
        <v>0</v>
      </c>
      <c r="O46" s="23">
        <f>Test!E252</f>
        <v>0</v>
      </c>
      <c r="P46" s="23">
        <f>Test!F252</f>
        <v>0</v>
      </c>
      <c r="Q46" s="23">
        <f>Test!G252</f>
        <v>0</v>
      </c>
      <c r="R46" s="24">
        <f t="shared" si="1"/>
        <v>0</v>
      </c>
      <c r="S46" s="18">
        <f t="shared" si="2"/>
        <v>0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Reference!B253</f>
        <v>0</v>
      </c>
      <c r="E47" s="13">
        <f>Reference!C253</f>
        <v>0</v>
      </c>
      <c r="F47" s="13">
        <f>Reference!D253</f>
        <v>0</v>
      </c>
      <c r="G47" s="13">
        <f>Reference!E253</f>
        <v>0</v>
      </c>
      <c r="H47" s="13">
        <f>Reference!F253</f>
        <v>0</v>
      </c>
      <c r="I47" s="13">
        <f>Reference!G253</f>
        <v>0</v>
      </c>
      <c r="J47" s="14">
        <f t="shared" si="3"/>
        <v>0</v>
      </c>
      <c r="L47" s="12">
        <f>Test!B253</f>
        <v>0</v>
      </c>
      <c r="M47" s="13">
        <f>Test!C253</f>
        <v>0</v>
      </c>
      <c r="N47" s="13">
        <f>Test!D253</f>
        <v>0</v>
      </c>
      <c r="O47" s="13">
        <f>Test!E253</f>
        <v>0</v>
      </c>
      <c r="P47" s="13">
        <f>Test!F253</f>
        <v>0</v>
      </c>
      <c r="Q47" s="13">
        <f>Test!G253</f>
        <v>0</v>
      </c>
      <c r="R47" s="14">
        <f t="shared" si="1"/>
        <v>0</v>
      </c>
      <c r="S47" s="13" t="e">
        <f t="shared" ref="S47:T70" si="4">P47/H47</f>
        <v>#DIV/0!</v>
      </c>
      <c r="T47" s="13" t="e">
        <f t="shared" si="4"/>
        <v>#DIV/0!</v>
      </c>
      <c r="U47" s="58"/>
      <c r="V47" s="41" t="e">
        <f>bdrate($D47:$D50,E47:E50,$L47:$L50,M47:M50)</f>
        <v>#VALUE!</v>
      </c>
      <c r="W47" s="46" t="e">
        <f>bdrate($D47:$D50,F47:F50,$L47:$L50,N47:N50)</f>
        <v>#VALUE!</v>
      </c>
      <c r="X47" s="47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 x14ac:dyDescent="0.2">
      <c r="A48" s="16" t="s">
        <v>46</v>
      </c>
      <c r="B48" s="16"/>
      <c r="C48" s="16">
        <v>27</v>
      </c>
      <c r="D48" s="17">
        <f>Reference!B254</f>
        <v>0</v>
      </c>
      <c r="E48" s="18">
        <f>Reference!C254</f>
        <v>0</v>
      </c>
      <c r="F48" s="18">
        <f>Reference!D254</f>
        <v>0</v>
      </c>
      <c r="G48" s="18">
        <f>Reference!E254</f>
        <v>0</v>
      </c>
      <c r="H48" s="18">
        <f>Reference!F254</f>
        <v>0</v>
      </c>
      <c r="I48" s="18">
        <f>Reference!G254</f>
        <v>0</v>
      </c>
      <c r="J48" s="19">
        <f t="shared" si="3"/>
        <v>0</v>
      </c>
      <c r="L48" s="17">
        <f>Test!B254</f>
        <v>0</v>
      </c>
      <c r="M48" s="18">
        <f>Test!C254</f>
        <v>0</v>
      </c>
      <c r="N48" s="18">
        <f>Test!D254</f>
        <v>0</v>
      </c>
      <c r="O48" s="18">
        <f>Test!E254</f>
        <v>0</v>
      </c>
      <c r="P48" s="18">
        <f>Test!F254</f>
        <v>0</v>
      </c>
      <c r="Q48" s="18">
        <f>Test!G254</f>
        <v>0</v>
      </c>
      <c r="R48" s="19">
        <f t="shared" si="1"/>
        <v>0</v>
      </c>
      <c r="S48" s="18" t="e">
        <f t="shared" si="4"/>
        <v>#DIV/0!</v>
      </c>
      <c r="T48" s="18" t="e">
        <f t="shared" si="4"/>
        <v>#DIV/0!</v>
      </c>
      <c r="U48" s="59"/>
      <c r="V48" s="42"/>
      <c r="W48" s="25"/>
      <c r="X48" s="54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Reference!B255</f>
        <v>0</v>
      </c>
      <c r="E49" s="18">
        <f>Reference!C255</f>
        <v>0</v>
      </c>
      <c r="F49" s="18">
        <f>Reference!D255</f>
        <v>0</v>
      </c>
      <c r="G49" s="18">
        <f>Reference!E255</f>
        <v>0</v>
      </c>
      <c r="H49" s="18">
        <f>Reference!F255</f>
        <v>0</v>
      </c>
      <c r="I49" s="18">
        <f>Reference!G255</f>
        <v>0</v>
      </c>
      <c r="J49" s="19">
        <f t="shared" si="3"/>
        <v>0</v>
      </c>
      <c r="L49" s="17">
        <f>Test!B255</f>
        <v>0</v>
      </c>
      <c r="M49" s="18">
        <f>Test!C255</f>
        <v>0</v>
      </c>
      <c r="N49" s="18">
        <f>Test!D255</f>
        <v>0</v>
      </c>
      <c r="O49" s="18">
        <f>Test!E255</f>
        <v>0</v>
      </c>
      <c r="P49" s="18">
        <f>Test!F255</f>
        <v>0</v>
      </c>
      <c r="Q49" s="18">
        <f>Test!G255</f>
        <v>0</v>
      </c>
      <c r="R49" s="19">
        <f t="shared" si="1"/>
        <v>0</v>
      </c>
      <c r="S49" s="18" t="e">
        <f t="shared" si="4"/>
        <v>#DIV/0!</v>
      </c>
      <c r="T49" s="18" t="e">
        <f t="shared" si="4"/>
        <v>#DIV/0!</v>
      </c>
      <c r="U49" s="59"/>
      <c r="V49" s="42"/>
      <c r="W49" s="25"/>
      <c r="X49" s="54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Reference!B256</f>
        <v>0</v>
      </c>
      <c r="E50" s="23">
        <f>Reference!C256</f>
        <v>0</v>
      </c>
      <c r="F50" s="23">
        <f>Reference!D256</f>
        <v>0</v>
      </c>
      <c r="G50" s="23">
        <f>Reference!E256</f>
        <v>0</v>
      </c>
      <c r="H50" s="23">
        <f>Reference!F256</f>
        <v>0</v>
      </c>
      <c r="I50" s="23">
        <f>Reference!G256</f>
        <v>0</v>
      </c>
      <c r="J50" s="24">
        <f t="shared" si="3"/>
        <v>0</v>
      </c>
      <c r="L50" s="22">
        <f>Test!B256</f>
        <v>0</v>
      </c>
      <c r="M50" s="23">
        <f>Test!C256</f>
        <v>0</v>
      </c>
      <c r="N50" s="23">
        <f>Test!D256</f>
        <v>0</v>
      </c>
      <c r="O50" s="23">
        <f>Test!E256</f>
        <v>0</v>
      </c>
      <c r="P50" s="23">
        <f>Test!F256</f>
        <v>0</v>
      </c>
      <c r="Q50" s="23">
        <f>Test!G256</f>
        <v>0</v>
      </c>
      <c r="R50" s="24">
        <f t="shared" si="1"/>
        <v>0</v>
      </c>
      <c r="S50" s="18" t="e">
        <f t="shared" si="4"/>
        <v>#DIV/0!</v>
      </c>
      <c r="T50" s="18" t="e">
        <f t="shared" si="4"/>
        <v>#DIV/0!</v>
      </c>
      <c r="U50" s="59"/>
      <c r="V50" s="43"/>
      <c r="W50" s="55"/>
      <c r="X50" s="56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Reference!B257</f>
        <v>0</v>
      </c>
      <c r="E51" s="13">
        <f>Reference!C257</f>
        <v>0</v>
      </c>
      <c r="F51" s="13">
        <f>Reference!D257</f>
        <v>0</v>
      </c>
      <c r="G51" s="13">
        <f>Reference!E257</f>
        <v>0</v>
      </c>
      <c r="H51" s="13">
        <f>Reference!F257</f>
        <v>0</v>
      </c>
      <c r="I51" s="13">
        <f>Reference!G257</f>
        <v>0</v>
      </c>
      <c r="J51" s="14">
        <f t="shared" si="3"/>
        <v>0</v>
      </c>
      <c r="L51" s="12">
        <f>Test!B257</f>
        <v>0</v>
      </c>
      <c r="M51" s="13">
        <f>Test!C257</f>
        <v>0</v>
      </c>
      <c r="N51" s="13">
        <f>Test!D257</f>
        <v>0</v>
      </c>
      <c r="O51" s="13">
        <f>Test!E257</f>
        <v>0</v>
      </c>
      <c r="P51" s="13">
        <f>Test!F257</f>
        <v>0</v>
      </c>
      <c r="Q51" s="13">
        <f>Test!G257</f>
        <v>0</v>
      </c>
      <c r="R51" s="14">
        <f t="shared" si="1"/>
        <v>0</v>
      </c>
      <c r="S51" s="18" t="e">
        <f t="shared" si="4"/>
        <v>#DIV/0!</v>
      </c>
      <c r="T51" s="18" t="e">
        <f t="shared" si="4"/>
        <v>#DIV/0!</v>
      </c>
      <c r="U51" s="59"/>
      <c r="V51" s="41" t="e">
        <f>bdrate($D51:$D54,E51:E54,$L51:$L54,M51:M54)</f>
        <v>#VALUE!</v>
      </c>
      <c r="W51" s="46" t="e">
        <f>bdrate($D51:$D54,F51:F54,$L51:$L54,N51:N54)</f>
        <v>#VALUE!</v>
      </c>
      <c r="X51" s="46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 x14ac:dyDescent="0.2">
      <c r="A52" s="16"/>
      <c r="B52" s="16"/>
      <c r="C52" s="16">
        <v>27</v>
      </c>
      <c r="D52" s="17">
        <f>Reference!B258</f>
        <v>0</v>
      </c>
      <c r="E52" s="18">
        <f>Reference!C258</f>
        <v>0</v>
      </c>
      <c r="F52" s="18">
        <f>Reference!D258</f>
        <v>0</v>
      </c>
      <c r="G52" s="18">
        <f>Reference!E258</f>
        <v>0</v>
      </c>
      <c r="H52" s="18">
        <f>Reference!F258</f>
        <v>0</v>
      </c>
      <c r="I52" s="18">
        <f>Reference!G258</f>
        <v>0</v>
      </c>
      <c r="J52" s="19">
        <f t="shared" si="3"/>
        <v>0</v>
      </c>
      <c r="L52" s="17">
        <f>Test!B258</f>
        <v>0</v>
      </c>
      <c r="M52" s="18">
        <f>Test!C258</f>
        <v>0</v>
      </c>
      <c r="N52" s="18">
        <f>Test!D258</f>
        <v>0</v>
      </c>
      <c r="O52" s="18">
        <f>Test!E258</f>
        <v>0</v>
      </c>
      <c r="P52" s="18">
        <f>Test!F258</f>
        <v>0</v>
      </c>
      <c r="Q52" s="18">
        <f>Test!G258</f>
        <v>0</v>
      </c>
      <c r="R52" s="19">
        <f t="shared" si="1"/>
        <v>0</v>
      </c>
      <c r="S52" s="18" t="e">
        <f t="shared" si="4"/>
        <v>#DIV/0!</v>
      </c>
      <c r="T52" s="18" t="e">
        <f t="shared" si="4"/>
        <v>#DIV/0!</v>
      </c>
      <c r="U52" s="59"/>
      <c r="V52" s="42"/>
      <c r="W52" s="25"/>
      <c r="X52" s="25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Reference!B259</f>
        <v>0</v>
      </c>
      <c r="E53" s="18">
        <f>Reference!C259</f>
        <v>0</v>
      </c>
      <c r="F53" s="18">
        <f>Reference!D259</f>
        <v>0</v>
      </c>
      <c r="G53" s="18">
        <f>Reference!E259</f>
        <v>0</v>
      </c>
      <c r="H53" s="18">
        <f>Reference!F259</f>
        <v>0</v>
      </c>
      <c r="I53" s="18">
        <f>Reference!G259</f>
        <v>0</v>
      </c>
      <c r="J53" s="19">
        <f t="shared" si="3"/>
        <v>0</v>
      </c>
      <c r="L53" s="17">
        <f>Test!B259</f>
        <v>0</v>
      </c>
      <c r="M53" s="18">
        <f>Test!C259</f>
        <v>0</v>
      </c>
      <c r="N53" s="18">
        <f>Test!D259</f>
        <v>0</v>
      </c>
      <c r="O53" s="18">
        <f>Test!E259</f>
        <v>0</v>
      </c>
      <c r="P53" s="18">
        <f>Test!F259</f>
        <v>0</v>
      </c>
      <c r="Q53" s="18">
        <f>Test!G259</f>
        <v>0</v>
      </c>
      <c r="R53" s="19">
        <f t="shared" si="1"/>
        <v>0</v>
      </c>
      <c r="S53" s="18" t="e">
        <f t="shared" si="4"/>
        <v>#DIV/0!</v>
      </c>
      <c r="T53" s="18" t="e">
        <f t="shared" si="4"/>
        <v>#DIV/0!</v>
      </c>
      <c r="U53" s="59"/>
      <c r="V53" s="42"/>
      <c r="W53" s="25"/>
      <c r="X53" s="25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Reference!B260</f>
        <v>0</v>
      </c>
      <c r="E54" s="23">
        <f>Reference!C260</f>
        <v>0</v>
      </c>
      <c r="F54" s="23">
        <f>Reference!D260</f>
        <v>0</v>
      </c>
      <c r="G54" s="23">
        <f>Reference!E260</f>
        <v>0</v>
      </c>
      <c r="H54" s="23">
        <f>Reference!F260</f>
        <v>0</v>
      </c>
      <c r="I54" s="23">
        <f>Reference!G260</f>
        <v>0</v>
      </c>
      <c r="J54" s="24">
        <f t="shared" si="3"/>
        <v>0</v>
      </c>
      <c r="L54" s="22">
        <f>Test!B260</f>
        <v>0</v>
      </c>
      <c r="M54" s="23">
        <f>Test!C260</f>
        <v>0</v>
      </c>
      <c r="N54" s="23">
        <f>Test!D260</f>
        <v>0</v>
      </c>
      <c r="O54" s="23">
        <f>Test!E260</f>
        <v>0</v>
      </c>
      <c r="P54" s="23">
        <f>Test!F260</f>
        <v>0</v>
      </c>
      <c r="Q54" s="23">
        <f>Test!G260</f>
        <v>0</v>
      </c>
      <c r="R54" s="24">
        <f t="shared" si="1"/>
        <v>0</v>
      </c>
      <c r="S54" s="18" t="e">
        <f t="shared" si="4"/>
        <v>#DIV/0!</v>
      </c>
      <c r="T54" s="18" t="e">
        <f t="shared" si="4"/>
        <v>#DIV/0!</v>
      </c>
      <c r="U54" s="59"/>
      <c r="V54" s="43"/>
      <c r="W54" s="55"/>
      <c r="X54" s="55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Reference!B261</f>
        <v>0</v>
      </c>
      <c r="E55" s="13">
        <f>Reference!C261</f>
        <v>0</v>
      </c>
      <c r="F55" s="13">
        <f>Reference!D261</f>
        <v>0</v>
      </c>
      <c r="G55" s="13">
        <f>Reference!E261</f>
        <v>0</v>
      </c>
      <c r="H55" s="13">
        <f>Reference!F261</f>
        <v>0</v>
      </c>
      <c r="I55" s="13">
        <f>Reference!G261</f>
        <v>0</v>
      </c>
      <c r="J55" s="14">
        <f t="shared" si="3"/>
        <v>0</v>
      </c>
      <c r="L55" s="12">
        <f>Test!B261</f>
        <v>0</v>
      </c>
      <c r="M55" s="13">
        <f>Test!C261</f>
        <v>0</v>
      </c>
      <c r="N55" s="13">
        <f>Test!D261</f>
        <v>0</v>
      </c>
      <c r="O55" s="13">
        <f>Test!E261</f>
        <v>0</v>
      </c>
      <c r="P55" s="13">
        <f>Test!F261</f>
        <v>0</v>
      </c>
      <c r="Q55" s="13">
        <f>Test!G261</f>
        <v>0</v>
      </c>
      <c r="R55" s="14">
        <f t="shared" si="1"/>
        <v>0</v>
      </c>
      <c r="S55" s="18" t="e">
        <f t="shared" si="4"/>
        <v>#DIV/0!</v>
      </c>
      <c r="T55" s="18" t="e">
        <f t="shared" si="4"/>
        <v>#DIV/0!</v>
      </c>
      <c r="U55" s="59"/>
      <c r="V55" s="41" t="e">
        <f>bdrate($D55:$D58,E55:E58,$L55:$L58,M55:M58)</f>
        <v>#VALUE!</v>
      </c>
      <c r="W55" s="46" t="e">
        <f>bdrate($D55:$D58,F55:F58,$L55:$L58,N55:N58)</f>
        <v>#VALUE!</v>
      </c>
      <c r="X55" s="46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 x14ac:dyDescent="0.2">
      <c r="A56" s="16"/>
      <c r="B56" s="16"/>
      <c r="C56" s="16">
        <v>27</v>
      </c>
      <c r="D56" s="17">
        <f>Reference!B262</f>
        <v>0</v>
      </c>
      <c r="E56" s="18">
        <f>Reference!C262</f>
        <v>0</v>
      </c>
      <c r="F56" s="18">
        <f>Reference!D262</f>
        <v>0</v>
      </c>
      <c r="G56" s="18">
        <f>Reference!E262</f>
        <v>0</v>
      </c>
      <c r="H56" s="18">
        <f>Reference!F262</f>
        <v>0</v>
      </c>
      <c r="I56" s="18">
        <f>Reference!G262</f>
        <v>0</v>
      </c>
      <c r="J56" s="19">
        <f t="shared" si="3"/>
        <v>0</v>
      </c>
      <c r="L56" s="17">
        <f>Test!B262</f>
        <v>0</v>
      </c>
      <c r="M56" s="18">
        <f>Test!C262</f>
        <v>0</v>
      </c>
      <c r="N56" s="18">
        <f>Test!D262</f>
        <v>0</v>
      </c>
      <c r="O56" s="18">
        <f>Test!E262</f>
        <v>0</v>
      </c>
      <c r="P56" s="18">
        <f>Test!F262</f>
        <v>0</v>
      </c>
      <c r="Q56" s="18">
        <f>Test!G262</f>
        <v>0</v>
      </c>
      <c r="R56" s="19">
        <f t="shared" si="1"/>
        <v>0</v>
      </c>
      <c r="S56" s="18" t="e">
        <f t="shared" si="4"/>
        <v>#DIV/0!</v>
      </c>
      <c r="T56" s="18" t="e">
        <f t="shared" si="4"/>
        <v>#DIV/0!</v>
      </c>
      <c r="U56" s="59"/>
      <c r="V56" s="42"/>
      <c r="W56" s="25"/>
      <c r="X56" s="25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Reference!B263</f>
        <v>0</v>
      </c>
      <c r="E57" s="18">
        <f>Reference!C263</f>
        <v>0</v>
      </c>
      <c r="F57" s="18">
        <f>Reference!D263</f>
        <v>0</v>
      </c>
      <c r="G57" s="18">
        <f>Reference!E263</f>
        <v>0</v>
      </c>
      <c r="H57" s="18">
        <f>Reference!F263</f>
        <v>0</v>
      </c>
      <c r="I57" s="18">
        <f>Reference!G263</f>
        <v>0</v>
      </c>
      <c r="J57" s="19">
        <f t="shared" si="3"/>
        <v>0</v>
      </c>
      <c r="L57" s="17">
        <f>Test!B263</f>
        <v>0</v>
      </c>
      <c r="M57" s="18">
        <f>Test!C263</f>
        <v>0</v>
      </c>
      <c r="N57" s="18">
        <f>Test!D263</f>
        <v>0</v>
      </c>
      <c r="O57" s="18">
        <f>Test!E263</f>
        <v>0</v>
      </c>
      <c r="P57" s="18">
        <f>Test!F263</f>
        <v>0</v>
      </c>
      <c r="Q57" s="18">
        <f>Test!G263</f>
        <v>0</v>
      </c>
      <c r="R57" s="19">
        <f t="shared" si="1"/>
        <v>0</v>
      </c>
      <c r="S57" s="18" t="e">
        <f t="shared" si="4"/>
        <v>#DIV/0!</v>
      </c>
      <c r="T57" s="18" t="e">
        <f t="shared" si="4"/>
        <v>#DIV/0!</v>
      </c>
      <c r="U57" s="59"/>
      <c r="V57" s="42"/>
      <c r="W57" s="25"/>
      <c r="X57" s="25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Reference!B264</f>
        <v>0</v>
      </c>
      <c r="E58" s="23">
        <f>Reference!C264</f>
        <v>0</v>
      </c>
      <c r="F58" s="23">
        <f>Reference!D264</f>
        <v>0</v>
      </c>
      <c r="G58" s="23">
        <f>Reference!E264</f>
        <v>0</v>
      </c>
      <c r="H58" s="23">
        <f>Reference!F264</f>
        <v>0</v>
      </c>
      <c r="I58" s="23">
        <f>Reference!G264</f>
        <v>0</v>
      </c>
      <c r="J58" s="24">
        <f t="shared" si="3"/>
        <v>0</v>
      </c>
      <c r="L58" s="22">
        <f>Test!B264</f>
        <v>0</v>
      </c>
      <c r="M58" s="23">
        <f>Test!C264</f>
        <v>0</v>
      </c>
      <c r="N58" s="23">
        <f>Test!D264</f>
        <v>0</v>
      </c>
      <c r="O58" s="23">
        <f>Test!E264</f>
        <v>0</v>
      </c>
      <c r="P58" s="23">
        <f>Test!F264</f>
        <v>0</v>
      </c>
      <c r="Q58" s="23">
        <f>Test!G264</f>
        <v>0</v>
      </c>
      <c r="R58" s="24">
        <f t="shared" si="1"/>
        <v>0</v>
      </c>
      <c r="S58" s="18" t="e">
        <f t="shared" si="4"/>
        <v>#DIV/0!</v>
      </c>
      <c r="T58" s="18" t="e">
        <f t="shared" si="4"/>
        <v>#DIV/0!</v>
      </c>
      <c r="U58" s="59"/>
      <c r="V58" s="43"/>
      <c r="W58" s="55"/>
      <c r="X58" s="55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Reference!B265</f>
        <v>0</v>
      </c>
      <c r="E59" s="13">
        <f>Reference!C265</f>
        <v>0</v>
      </c>
      <c r="F59" s="13">
        <f>Reference!D265</f>
        <v>0</v>
      </c>
      <c r="G59" s="13">
        <f>Reference!E265</f>
        <v>0</v>
      </c>
      <c r="H59" s="13">
        <f>Reference!F265</f>
        <v>0</v>
      </c>
      <c r="I59" s="13">
        <f>Reference!G265</f>
        <v>0</v>
      </c>
      <c r="J59" s="14">
        <f t="shared" si="3"/>
        <v>0</v>
      </c>
      <c r="L59" s="12">
        <f>Test!B265</f>
        <v>0</v>
      </c>
      <c r="M59" s="13">
        <f>Test!C265</f>
        <v>0</v>
      </c>
      <c r="N59" s="13">
        <f>Test!D265</f>
        <v>0</v>
      </c>
      <c r="O59" s="13">
        <f>Test!E265</f>
        <v>0</v>
      </c>
      <c r="P59" s="13">
        <f>Test!F265</f>
        <v>0</v>
      </c>
      <c r="Q59" s="13">
        <f>Test!G265</f>
        <v>0</v>
      </c>
      <c r="R59" s="14">
        <f t="shared" si="1"/>
        <v>0</v>
      </c>
      <c r="S59" s="18" t="e">
        <f t="shared" si="4"/>
        <v>#DIV/0!</v>
      </c>
      <c r="T59" s="18" t="e">
        <f t="shared" si="4"/>
        <v>#DIV/0!</v>
      </c>
      <c r="U59" s="59"/>
      <c r="V59" s="41" t="e">
        <f>bdrate($D59:$D62,E59:E62,$L59:$L62,M59:M62)</f>
        <v>#VALUE!</v>
      </c>
      <c r="W59" s="46" t="e">
        <f>bdrate($D59:$D62,F59:F62,$L59:$L62,N59:N62)</f>
        <v>#VALUE!</v>
      </c>
      <c r="X59" s="46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 x14ac:dyDescent="0.2">
      <c r="A60" s="16"/>
      <c r="B60" s="16"/>
      <c r="C60" s="16">
        <v>27</v>
      </c>
      <c r="D60" s="17">
        <f>Reference!B266</f>
        <v>0</v>
      </c>
      <c r="E60" s="18">
        <f>Reference!C266</f>
        <v>0</v>
      </c>
      <c r="F60" s="18">
        <f>Reference!D266</f>
        <v>0</v>
      </c>
      <c r="G60" s="18">
        <f>Reference!E266</f>
        <v>0</v>
      </c>
      <c r="H60" s="18">
        <f>Reference!F266</f>
        <v>0</v>
      </c>
      <c r="I60" s="18">
        <f>Reference!G266</f>
        <v>0</v>
      </c>
      <c r="J60" s="19">
        <f t="shared" si="3"/>
        <v>0</v>
      </c>
      <c r="L60" s="17">
        <f>Test!B266</f>
        <v>0</v>
      </c>
      <c r="M60" s="18">
        <f>Test!C266</f>
        <v>0</v>
      </c>
      <c r="N60" s="18">
        <f>Test!D266</f>
        <v>0</v>
      </c>
      <c r="O60" s="18">
        <f>Test!E266</f>
        <v>0</v>
      </c>
      <c r="P60" s="18">
        <f>Test!F266</f>
        <v>0</v>
      </c>
      <c r="Q60" s="18">
        <f>Test!G266</f>
        <v>0</v>
      </c>
      <c r="R60" s="19">
        <f t="shared" si="1"/>
        <v>0</v>
      </c>
      <c r="S60" s="18" t="e">
        <f t="shared" si="4"/>
        <v>#DIV/0!</v>
      </c>
      <c r="T60" s="18" t="e">
        <f t="shared" si="4"/>
        <v>#DIV/0!</v>
      </c>
      <c r="U60" s="59"/>
      <c r="V60" s="42"/>
      <c r="W60" s="25"/>
      <c r="X60" s="25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Reference!B267</f>
        <v>0</v>
      </c>
      <c r="E61" s="18">
        <f>Reference!C267</f>
        <v>0</v>
      </c>
      <c r="F61" s="18">
        <f>Reference!D267</f>
        <v>0</v>
      </c>
      <c r="G61" s="18">
        <f>Reference!E267</f>
        <v>0</v>
      </c>
      <c r="H61" s="18">
        <f>Reference!F267</f>
        <v>0</v>
      </c>
      <c r="I61" s="18">
        <f>Reference!G267</f>
        <v>0</v>
      </c>
      <c r="J61" s="19">
        <f t="shared" si="3"/>
        <v>0</v>
      </c>
      <c r="L61" s="17">
        <f>Test!B267</f>
        <v>0</v>
      </c>
      <c r="M61" s="18">
        <f>Test!C267</f>
        <v>0</v>
      </c>
      <c r="N61" s="18">
        <f>Test!D267</f>
        <v>0</v>
      </c>
      <c r="O61" s="18">
        <f>Test!E267</f>
        <v>0</v>
      </c>
      <c r="P61" s="18">
        <f>Test!F267</f>
        <v>0</v>
      </c>
      <c r="Q61" s="18">
        <f>Test!G267</f>
        <v>0</v>
      </c>
      <c r="R61" s="19">
        <f t="shared" si="1"/>
        <v>0</v>
      </c>
      <c r="S61" s="18" t="e">
        <f t="shared" si="4"/>
        <v>#DIV/0!</v>
      </c>
      <c r="T61" s="18" t="e">
        <f t="shared" si="4"/>
        <v>#DIV/0!</v>
      </c>
      <c r="U61" s="59"/>
      <c r="V61" s="42"/>
      <c r="W61" s="25"/>
      <c r="X61" s="25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Reference!B268</f>
        <v>0</v>
      </c>
      <c r="E62" s="23">
        <f>Reference!C268</f>
        <v>0</v>
      </c>
      <c r="F62" s="23">
        <f>Reference!D268</f>
        <v>0</v>
      </c>
      <c r="G62" s="23">
        <f>Reference!E268</f>
        <v>0</v>
      </c>
      <c r="H62" s="23">
        <f>Reference!F268</f>
        <v>0</v>
      </c>
      <c r="I62" s="23">
        <f>Reference!G268</f>
        <v>0</v>
      </c>
      <c r="J62" s="24">
        <f t="shared" si="3"/>
        <v>0</v>
      </c>
      <c r="L62" s="22">
        <f>Test!B268</f>
        <v>0</v>
      </c>
      <c r="M62" s="23">
        <f>Test!C268</f>
        <v>0</v>
      </c>
      <c r="N62" s="23">
        <f>Test!D268</f>
        <v>0</v>
      </c>
      <c r="O62" s="23">
        <f>Test!E268</f>
        <v>0</v>
      </c>
      <c r="P62" s="23">
        <f>Test!F268</f>
        <v>0</v>
      </c>
      <c r="Q62" s="23">
        <f>Test!G268</f>
        <v>0</v>
      </c>
      <c r="R62" s="24">
        <f t="shared" si="1"/>
        <v>0</v>
      </c>
      <c r="S62" s="23" t="e">
        <f t="shared" si="4"/>
        <v>#DIV/0!</v>
      </c>
      <c r="T62" s="23" t="e">
        <f t="shared" si="4"/>
        <v>#DIV/0!</v>
      </c>
      <c r="U62" s="60"/>
      <c r="V62" s="43"/>
      <c r="W62" s="55"/>
      <c r="X62" s="55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Reference!B269</f>
        <v>0</v>
      </c>
      <c r="E63" s="13">
        <f>Reference!C269</f>
        <v>0</v>
      </c>
      <c r="F63" s="13">
        <f>Reference!D269</f>
        <v>0</v>
      </c>
      <c r="G63" s="13">
        <f>Reference!E269</f>
        <v>0</v>
      </c>
      <c r="H63" s="13">
        <f>Reference!F269</f>
        <v>0</v>
      </c>
      <c r="I63" s="13">
        <f>Reference!G269</f>
        <v>0</v>
      </c>
      <c r="J63" s="14">
        <f t="shared" si="3"/>
        <v>0</v>
      </c>
      <c r="L63" s="12">
        <f>Test!B269</f>
        <v>0</v>
      </c>
      <c r="M63" s="13">
        <f>Test!C269</f>
        <v>0</v>
      </c>
      <c r="N63" s="13">
        <f>Test!D269</f>
        <v>0</v>
      </c>
      <c r="O63" s="13">
        <f>Test!E269</f>
        <v>0</v>
      </c>
      <c r="P63" s="13">
        <f>Test!F269</f>
        <v>0</v>
      </c>
      <c r="Q63" s="13">
        <f>Test!G269</f>
        <v>0</v>
      </c>
      <c r="R63" s="14">
        <f t="shared" si="1"/>
        <v>0</v>
      </c>
      <c r="S63" s="13" t="e">
        <f>P63/H63</f>
        <v>#DIV/0!</v>
      </c>
      <c r="T63" s="13" t="e">
        <f t="shared" si="4"/>
        <v>#DIV/0!</v>
      </c>
      <c r="U63" s="58"/>
      <c r="V63" s="41" t="e">
        <f>bdrate($D63:$D66,E63:E66,$L63:$L66,M63:M66)</f>
        <v>#VALUE!</v>
      </c>
      <c r="W63" s="46" t="e">
        <f>bdrate($D63:$D66,F63:F66,$L63:$L66,N63:N66)</f>
        <v>#VALUE!</v>
      </c>
      <c r="X63" s="47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Reference!B270</f>
        <v>0</v>
      </c>
      <c r="E64" s="18">
        <f>Reference!C270</f>
        <v>0</v>
      </c>
      <c r="F64" s="18">
        <f>Reference!D270</f>
        <v>0</v>
      </c>
      <c r="G64" s="18">
        <f>Reference!E270</f>
        <v>0</v>
      </c>
      <c r="H64" s="18">
        <f>Reference!F270</f>
        <v>0</v>
      </c>
      <c r="I64" s="18">
        <f>Reference!G270</f>
        <v>0</v>
      </c>
      <c r="J64" s="19">
        <f t="shared" si="3"/>
        <v>0</v>
      </c>
      <c r="L64" s="17">
        <f>Test!B270</f>
        <v>0</v>
      </c>
      <c r="M64" s="18">
        <f>Test!C270</f>
        <v>0</v>
      </c>
      <c r="N64" s="18">
        <f>Test!D270</f>
        <v>0</v>
      </c>
      <c r="O64" s="18">
        <f>Test!E270</f>
        <v>0</v>
      </c>
      <c r="P64" s="18">
        <f>Test!F270</f>
        <v>0</v>
      </c>
      <c r="Q64" s="18">
        <f>Test!G270</f>
        <v>0</v>
      </c>
      <c r="R64" s="19">
        <f t="shared" si="1"/>
        <v>0</v>
      </c>
      <c r="S64" s="18" t="e">
        <f>P64/H64</f>
        <v>#DIV/0!</v>
      </c>
      <c r="T64" s="18" t="e">
        <f t="shared" si="4"/>
        <v>#DIV/0!</v>
      </c>
      <c r="U64" s="59"/>
      <c r="V64" s="42"/>
      <c r="W64" s="25"/>
      <c r="X64" s="54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Reference!B271</f>
        <v>0</v>
      </c>
      <c r="E65" s="18">
        <f>Reference!C271</f>
        <v>0</v>
      </c>
      <c r="F65" s="18">
        <f>Reference!D271</f>
        <v>0</v>
      </c>
      <c r="G65" s="18">
        <f>Reference!E271</f>
        <v>0</v>
      </c>
      <c r="H65" s="18">
        <f>Reference!F271</f>
        <v>0</v>
      </c>
      <c r="I65" s="18">
        <f>Reference!G271</f>
        <v>0</v>
      </c>
      <c r="J65" s="19">
        <f t="shared" si="3"/>
        <v>0</v>
      </c>
      <c r="L65" s="17">
        <f>Test!B271</f>
        <v>0</v>
      </c>
      <c r="M65" s="18">
        <f>Test!C271</f>
        <v>0</v>
      </c>
      <c r="N65" s="18">
        <f>Test!D271</f>
        <v>0</v>
      </c>
      <c r="O65" s="18">
        <f>Test!E271</f>
        <v>0</v>
      </c>
      <c r="P65" s="18">
        <f>Test!F271</f>
        <v>0</v>
      </c>
      <c r="Q65" s="18">
        <f>Test!G271</f>
        <v>0</v>
      </c>
      <c r="R65" s="19">
        <f t="shared" si="1"/>
        <v>0</v>
      </c>
      <c r="S65" s="18" t="e">
        <f>P65/H65</f>
        <v>#DIV/0!</v>
      </c>
      <c r="T65" s="18" t="e">
        <f t="shared" si="4"/>
        <v>#DIV/0!</v>
      </c>
      <c r="U65" s="59"/>
      <c r="V65" s="42"/>
      <c r="W65" s="25"/>
      <c r="X65" s="54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Reference!B272</f>
        <v>0</v>
      </c>
      <c r="E66" s="23">
        <f>Reference!C272</f>
        <v>0</v>
      </c>
      <c r="F66" s="23">
        <f>Reference!D272</f>
        <v>0</v>
      </c>
      <c r="G66" s="23">
        <f>Reference!E272</f>
        <v>0</v>
      </c>
      <c r="H66" s="23">
        <f>Reference!F272</f>
        <v>0</v>
      </c>
      <c r="I66" s="23">
        <f>Reference!G272</f>
        <v>0</v>
      </c>
      <c r="J66" s="24">
        <f t="shared" si="3"/>
        <v>0</v>
      </c>
      <c r="L66" s="22">
        <f>Test!B272</f>
        <v>0</v>
      </c>
      <c r="M66" s="23">
        <f>Test!C272</f>
        <v>0</v>
      </c>
      <c r="N66" s="23">
        <f>Test!D272</f>
        <v>0</v>
      </c>
      <c r="O66" s="23">
        <f>Test!E272</f>
        <v>0</v>
      </c>
      <c r="P66" s="23">
        <f>Test!F272</f>
        <v>0</v>
      </c>
      <c r="Q66" s="23">
        <f>Test!G272</f>
        <v>0</v>
      </c>
      <c r="R66" s="24">
        <f t="shared" si="1"/>
        <v>0</v>
      </c>
      <c r="S66" s="18" t="e">
        <f>P66/H66</f>
        <v>#DIV/0!</v>
      </c>
      <c r="T66" s="18" t="e">
        <f t="shared" si="4"/>
        <v>#DIV/0!</v>
      </c>
      <c r="U66" s="59"/>
      <c r="V66" s="43"/>
      <c r="W66" s="55"/>
      <c r="X66" s="56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Reference!B273</f>
        <v>0</v>
      </c>
      <c r="E67" s="13">
        <f>Reference!C273</f>
        <v>0</v>
      </c>
      <c r="F67" s="13">
        <f>Reference!D273</f>
        <v>0</v>
      </c>
      <c r="G67" s="13">
        <f>Reference!E273</f>
        <v>0</v>
      </c>
      <c r="H67" s="13">
        <f>Reference!F273</f>
        <v>0</v>
      </c>
      <c r="I67" s="13">
        <f>Reference!G273</f>
        <v>0</v>
      </c>
      <c r="J67" s="14">
        <f t="shared" si="3"/>
        <v>0</v>
      </c>
      <c r="L67" s="12">
        <f>Test!B273</f>
        <v>0</v>
      </c>
      <c r="M67" s="13">
        <f>Test!C273</f>
        <v>0</v>
      </c>
      <c r="N67" s="13">
        <f>Test!D273</f>
        <v>0</v>
      </c>
      <c r="O67" s="13">
        <f>Test!E273</f>
        <v>0</v>
      </c>
      <c r="P67" s="13">
        <f>Test!F273</f>
        <v>0</v>
      </c>
      <c r="Q67" s="13">
        <f>Test!G273</f>
        <v>0</v>
      </c>
      <c r="R67" s="14">
        <f t="shared" si="1"/>
        <v>0</v>
      </c>
      <c r="S67" s="18" t="e">
        <f t="shared" si="4"/>
        <v>#DIV/0!</v>
      </c>
      <c r="T67" s="18" t="e">
        <f t="shared" si="4"/>
        <v>#DIV/0!</v>
      </c>
      <c r="U67" s="59"/>
      <c r="V67" s="41" t="e">
        <f>bdrate($D67:$D70,E67:E70,$L67:$L70,M67:M70)</f>
        <v>#VALUE!</v>
      </c>
      <c r="W67" s="46" t="e">
        <f>bdrate($D67:$D70,F67:F70,$L67:$L70,N67:N70)</f>
        <v>#VALUE!</v>
      </c>
      <c r="X67" s="46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 x14ac:dyDescent="0.2">
      <c r="A68" s="16"/>
      <c r="B68" s="16"/>
      <c r="C68" s="16">
        <v>27</v>
      </c>
      <c r="D68" s="17">
        <f>Reference!B274</f>
        <v>0</v>
      </c>
      <c r="E68" s="18">
        <f>Reference!C274</f>
        <v>0</v>
      </c>
      <c r="F68" s="18">
        <f>Reference!D274</f>
        <v>0</v>
      </c>
      <c r="G68" s="18">
        <f>Reference!E274</f>
        <v>0</v>
      </c>
      <c r="H68" s="18">
        <f>Reference!F274</f>
        <v>0</v>
      </c>
      <c r="I68" s="18">
        <f>Reference!G274</f>
        <v>0</v>
      </c>
      <c r="J68" s="19">
        <f t="shared" si="3"/>
        <v>0</v>
      </c>
      <c r="L68" s="17">
        <f>Test!B274</f>
        <v>0</v>
      </c>
      <c r="M68" s="18">
        <f>Test!C274</f>
        <v>0</v>
      </c>
      <c r="N68" s="18">
        <f>Test!D274</f>
        <v>0</v>
      </c>
      <c r="O68" s="18">
        <f>Test!E274</f>
        <v>0</v>
      </c>
      <c r="P68" s="18">
        <f>Test!F274</f>
        <v>0</v>
      </c>
      <c r="Q68" s="18">
        <f>Test!G274</f>
        <v>0</v>
      </c>
      <c r="R68" s="19">
        <f t="shared" si="1"/>
        <v>0</v>
      </c>
      <c r="S68" s="18" t="e">
        <f t="shared" si="4"/>
        <v>#DIV/0!</v>
      </c>
      <c r="T68" s="18" t="e">
        <f t="shared" si="4"/>
        <v>#DIV/0!</v>
      </c>
      <c r="U68" s="59"/>
      <c r="V68" s="42"/>
      <c r="W68" s="25"/>
      <c r="X68" s="25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Reference!B275</f>
        <v>0</v>
      </c>
      <c r="E69" s="18">
        <f>Reference!C275</f>
        <v>0</v>
      </c>
      <c r="F69" s="18">
        <f>Reference!D275</f>
        <v>0</v>
      </c>
      <c r="G69" s="18">
        <f>Reference!E275</f>
        <v>0</v>
      </c>
      <c r="H69" s="18">
        <f>Reference!F275</f>
        <v>0</v>
      </c>
      <c r="I69" s="18">
        <f>Reference!G275</f>
        <v>0</v>
      </c>
      <c r="J69" s="19">
        <f t="shared" si="3"/>
        <v>0</v>
      </c>
      <c r="L69" s="17">
        <f>Test!B275</f>
        <v>0</v>
      </c>
      <c r="M69" s="18">
        <f>Test!C275</f>
        <v>0</v>
      </c>
      <c r="N69" s="18">
        <f>Test!D275</f>
        <v>0</v>
      </c>
      <c r="O69" s="18">
        <f>Test!E275</f>
        <v>0</v>
      </c>
      <c r="P69" s="18">
        <f>Test!F275</f>
        <v>0</v>
      </c>
      <c r="Q69" s="18">
        <f>Test!G275</f>
        <v>0</v>
      </c>
      <c r="R69" s="19">
        <f t="shared" si="1"/>
        <v>0</v>
      </c>
      <c r="S69" s="18" t="e">
        <f t="shared" si="4"/>
        <v>#DIV/0!</v>
      </c>
      <c r="T69" s="18" t="e">
        <f t="shared" si="4"/>
        <v>#DIV/0!</v>
      </c>
      <c r="U69" s="59"/>
      <c r="V69" s="42"/>
      <c r="W69" s="25"/>
      <c r="X69" s="25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Reference!B276</f>
        <v>0</v>
      </c>
      <c r="E70" s="23">
        <f>Reference!C276</f>
        <v>0</v>
      </c>
      <c r="F70" s="23">
        <f>Reference!D276</f>
        <v>0</v>
      </c>
      <c r="G70" s="23">
        <f>Reference!E276</f>
        <v>0</v>
      </c>
      <c r="H70" s="23">
        <f>Reference!F276</f>
        <v>0</v>
      </c>
      <c r="I70" s="23">
        <f>Reference!G276</f>
        <v>0</v>
      </c>
      <c r="J70" s="24">
        <f t="shared" si="3"/>
        <v>0</v>
      </c>
      <c r="L70" s="22">
        <f>Test!B276</f>
        <v>0</v>
      </c>
      <c r="M70" s="23">
        <f>Test!C276</f>
        <v>0</v>
      </c>
      <c r="N70" s="23">
        <f>Test!D276</f>
        <v>0</v>
      </c>
      <c r="O70" s="23">
        <f>Test!E276</f>
        <v>0</v>
      </c>
      <c r="P70" s="23">
        <f>Test!F276</f>
        <v>0</v>
      </c>
      <c r="Q70" s="23">
        <f>Test!G276</f>
        <v>0</v>
      </c>
      <c r="R70" s="24">
        <f t="shared" si="1"/>
        <v>0</v>
      </c>
      <c r="S70" s="18" t="e">
        <f t="shared" si="4"/>
        <v>#DIV/0!</v>
      </c>
      <c r="T70" s="18" t="e">
        <f t="shared" si="4"/>
        <v>#DIV/0!</v>
      </c>
      <c r="U70" s="59"/>
      <c r="V70" s="43"/>
      <c r="W70" s="55"/>
      <c r="X70" s="55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Reference!B277</f>
        <v>0</v>
      </c>
      <c r="E71" s="13">
        <f>Reference!C277</f>
        <v>0</v>
      </c>
      <c r="F71" s="13">
        <f>Reference!D277</f>
        <v>0</v>
      </c>
      <c r="G71" s="13">
        <f>Reference!E277</f>
        <v>0</v>
      </c>
      <c r="H71" s="13">
        <f>Reference!F277</f>
        <v>0</v>
      </c>
      <c r="I71" s="13">
        <f>Reference!G277</f>
        <v>0</v>
      </c>
      <c r="J71" s="14">
        <f t="shared" si="3"/>
        <v>0</v>
      </c>
      <c r="L71" s="12">
        <f>Test!B277</f>
        <v>0</v>
      </c>
      <c r="M71" s="13">
        <f>Test!C277</f>
        <v>0</v>
      </c>
      <c r="N71" s="13">
        <f>Test!D277</f>
        <v>0</v>
      </c>
      <c r="O71" s="13">
        <f>Test!E277</f>
        <v>0</v>
      </c>
      <c r="P71" s="13">
        <f>Test!F277</f>
        <v>0</v>
      </c>
      <c r="Q71" s="13">
        <f>Test!G277</f>
        <v>0</v>
      </c>
      <c r="R71" s="14">
        <f t="shared" si="1"/>
        <v>0</v>
      </c>
      <c r="S71" s="18" t="e">
        <f t="shared" ref="S71:T86" si="5">P71/H71</f>
        <v>#DIV/0!</v>
      </c>
      <c r="T71" s="18" t="e">
        <f t="shared" si="5"/>
        <v>#DIV/0!</v>
      </c>
      <c r="U71" s="59"/>
      <c r="V71" s="41" t="e">
        <f>bdrate($D71:$D74,E71:E74,$L71:$L74,M71:M74)</f>
        <v>#VALUE!</v>
      </c>
      <c r="W71" s="46" t="e">
        <f>bdrate($D71:$D74,F71:F74,$L71:$L74,N71:N74)</f>
        <v>#VALUE!</v>
      </c>
      <c r="X71" s="46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 x14ac:dyDescent="0.2">
      <c r="A72" s="16"/>
      <c r="B72" s="16"/>
      <c r="C72" s="16">
        <v>27</v>
      </c>
      <c r="D72" s="17">
        <f>Reference!B278</f>
        <v>0</v>
      </c>
      <c r="E72" s="18">
        <f>Reference!C278</f>
        <v>0</v>
      </c>
      <c r="F72" s="18">
        <f>Reference!D278</f>
        <v>0</v>
      </c>
      <c r="G72" s="18">
        <f>Reference!E278</f>
        <v>0</v>
      </c>
      <c r="H72" s="18">
        <f>Reference!F278</f>
        <v>0</v>
      </c>
      <c r="I72" s="18">
        <f>Reference!G278</f>
        <v>0</v>
      </c>
      <c r="J72" s="19">
        <f t="shared" si="3"/>
        <v>0</v>
      </c>
      <c r="L72" s="17">
        <f>Test!B278</f>
        <v>0</v>
      </c>
      <c r="M72" s="18">
        <f>Test!C278</f>
        <v>0</v>
      </c>
      <c r="N72" s="18">
        <f>Test!D278</f>
        <v>0</v>
      </c>
      <c r="O72" s="18">
        <f>Test!E278</f>
        <v>0</v>
      </c>
      <c r="P72" s="18">
        <f>Test!F278</f>
        <v>0</v>
      </c>
      <c r="Q72" s="18">
        <f>Test!G278</f>
        <v>0</v>
      </c>
      <c r="R72" s="19">
        <f t="shared" si="1"/>
        <v>0</v>
      </c>
      <c r="S72" s="18" t="e">
        <f t="shared" si="5"/>
        <v>#DIV/0!</v>
      </c>
      <c r="T72" s="18" t="e">
        <f t="shared" si="5"/>
        <v>#DIV/0!</v>
      </c>
      <c r="U72" s="59"/>
      <c r="V72" s="42"/>
      <c r="W72" s="25"/>
      <c r="X72" s="25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Reference!B279</f>
        <v>0</v>
      </c>
      <c r="E73" s="18">
        <f>Reference!C279</f>
        <v>0</v>
      </c>
      <c r="F73" s="18">
        <f>Reference!D279</f>
        <v>0</v>
      </c>
      <c r="G73" s="18">
        <f>Reference!E279</f>
        <v>0</v>
      </c>
      <c r="H73" s="18">
        <f>Reference!F279</f>
        <v>0</v>
      </c>
      <c r="I73" s="18">
        <f>Reference!G279</f>
        <v>0</v>
      </c>
      <c r="J73" s="19">
        <f t="shared" si="3"/>
        <v>0</v>
      </c>
      <c r="L73" s="17">
        <f>Test!B279</f>
        <v>0</v>
      </c>
      <c r="M73" s="18">
        <f>Test!C279</f>
        <v>0</v>
      </c>
      <c r="N73" s="18">
        <f>Test!D279</f>
        <v>0</v>
      </c>
      <c r="O73" s="18">
        <f>Test!E279</f>
        <v>0</v>
      </c>
      <c r="P73" s="18">
        <f>Test!F279</f>
        <v>0</v>
      </c>
      <c r="Q73" s="18">
        <f>Test!G279</f>
        <v>0</v>
      </c>
      <c r="R73" s="19">
        <f t="shared" si="1"/>
        <v>0</v>
      </c>
      <c r="S73" s="18" t="e">
        <f t="shared" si="5"/>
        <v>#DIV/0!</v>
      </c>
      <c r="T73" s="18" t="e">
        <f t="shared" si="5"/>
        <v>#DIV/0!</v>
      </c>
      <c r="U73" s="59"/>
      <c r="V73" s="42"/>
      <c r="W73" s="25"/>
      <c r="X73" s="25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Reference!B280</f>
        <v>0</v>
      </c>
      <c r="E74" s="23">
        <f>Reference!C280</f>
        <v>0</v>
      </c>
      <c r="F74" s="23">
        <f>Reference!D280</f>
        <v>0</v>
      </c>
      <c r="G74" s="23">
        <f>Reference!E280</f>
        <v>0</v>
      </c>
      <c r="H74" s="23">
        <f>Reference!F280</f>
        <v>0</v>
      </c>
      <c r="I74" s="23">
        <f>Reference!G280</f>
        <v>0</v>
      </c>
      <c r="J74" s="24">
        <f t="shared" si="3"/>
        <v>0</v>
      </c>
      <c r="L74" s="22">
        <f>Test!B280</f>
        <v>0</v>
      </c>
      <c r="M74" s="23">
        <f>Test!C280</f>
        <v>0</v>
      </c>
      <c r="N74" s="23">
        <f>Test!D280</f>
        <v>0</v>
      </c>
      <c r="O74" s="23">
        <f>Test!E280</f>
        <v>0</v>
      </c>
      <c r="P74" s="23">
        <f>Test!F280</f>
        <v>0</v>
      </c>
      <c r="Q74" s="23">
        <f>Test!G280</f>
        <v>0</v>
      </c>
      <c r="R74" s="24">
        <f t="shared" si="1"/>
        <v>0</v>
      </c>
      <c r="S74" s="18" t="e">
        <f t="shared" si="5"/>
        <v>#DIV/0!</v>
      </c>
      <c r="T74" s="18" t="e">
        <f t="shared" si="5"/>
        <v>#DIV/0!</v>
      </c>
      <c r="U74" s="59"/>
      <c r="V74" s="43"/>
      <c r="W74" s="55"/>
      <c r="X74" s="55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Reference!B281</f>
        <v>0</v>
      </c>
      <c r="E75" s="13">
        <f>Reference!C281</f>
        <v>0</v>
      </c>
      <c r="F75" s="13">
        <f>Reference!D281</f>
        <v>0</v>
      </c>
      <c r="G75" s="13">
        <f>Reference!E281</f>
        <v>0</v>
      </c>
      <c r="H75" s="13">
        <f>Reference!F281</f>
        <v>0</v>
      </c>
      <c r="I75" s="13">
        <f>Reference!G281</f>
        <v>0</v>
      </c>
      <c r="J75" s="14">
        <f t="shared" si="3"/>
        <v>0</v>
      </c>
      <c r="L75" s="12">
        <f>Test!B281</f>
        <v>0</v>
      </c>
      <c r="M75" s="13">
        <f>Test!C281</f>
        <v>0</v>
      </c>
      <c r="N75" s="13">
        <f>Test!D281</f>
        <v>0</v>
      </c>
      <c r="O75" s="13">
        <f>Test!E281</f>
        <v>0</v>
      </c>
      <c r="P75" s="13">
        <f>Test!F281</f>
        <v>0</v>
      </c>
      <c r="Q75" s="13">
        <f>Test!G281</f>
        <v>0</v>
      </c>
      <c r="R75" s="14">
        <f t="shared" si="1"/>
        <v>0</v>
      </c>
      <c r="S75" s="18" t="e">
        <f t="shared" si="5"/>
        <v>#DIV/0!</v>
      </c>
      <c r="T75" s="18" t="e">
        <f t="shared" si="5"/>
        <v>#DIV/0!</v>
      </c>
      <c r="U75" s="59"/>
      <c r="V75" s="41" t="e">
        <f>bdrate($D75:$D78,E75:E78,$L75:$L78,M75:M78)</f>
        <v>#VALUE!</v>
      </c>
      <c r="W75" s="46" t="e">
        <f>bdrate($D75:$D78,F75:F78,$L75:$L78,N75:N78)</f>
        <v>#VALUE!</v>
      </c>
      <c r="X75" s="46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 x14ac:dyDescent="0.2">
      <c r="A76" s="16"/>
      <c r="B76" s="16"/>
      <c r="C76" s="16">
        <v>27</v>
      </c>
      <c r="D76" s="17">
        <f>Reference!B282</f>
        <v>0</v>
      </c>
      <c r="E76" s="18">
        <f>Reference!C282</f>
        <v>0</v>
      </c>
      <c r="F76" s="18">
        <f>Reference!D282</f>
        <v>0</v>
      </c>
      <c r="G76" s="18">
        <f>Reference!E282</f>
        <v>0</v>
      </c>
      <c r="H76" s="18">
        <f>Reference!F282</f>
        <v>0</v>
      </c>
      <c r="I76" s="18">
        <f>Reference!G282</f>
        <v>0</v>
      </c>
      <c r="J76" s="19">
        <f t="shared" si="3"/>
        <v>0</v>
      </c>
      <c r="L76" s="17">
        <f>Test!B282</f>
        <v>0</v>
      </c>
      <c r="M76" s="18">
        <f>Test!C282</f>
        <v>0</v>
      </c>
      <c r="N76" s="18">
        <f>Test!D282</f>
        <v>0</v>
      </c>
      <c r="O76" s="18">
        <f>Test!E282</f>
        <v>0</v>
      </c>
      <c r="P76" s="18">
        <f>Test!F282</f>
        <v>0</v>
      </c>
      <c r="Q76" s="18">
        <f>Test!G282</f>
        <v>0</v>
      </c>
      <c r="R76" s="19">
        <f t="shared" si="1"/>
        <v>0</v>
      </c>
      <c r="S76" s="18" t="e">
        <f t="shared" si="5"/>
        <v>#DIV/0!</v>
      </c>
      <c r="T76" s="18" t="e">
        <f t="shared" si="5"/>
        <v>#DIV/0!</v>
      </c>
      <c r="U76" s="59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Reference!B283</f>
        <v>0</v>
      </c>
      <c r="E77" s="18">
        <f>Reference!C283</f>
        <v>0</v>
      </c>
      <c r="F77" s="18">
        <f>Reference!D283</f>
        <v>0</v>
      </c>
      <c r="G77" s="18">
        <f>Reference!E283</f>
        <v>0</v>
      </c>
      <c r="H77" s="18">
        <f>Reference!F283</f>
        <v>0</v>
      </c>
      <c r="I77" s="18">
        <f>Reference!G283</f>
        <v>0</v>
      </c>
      <c r="J77" s="19">
        <f t="shared" si="3"/>
        <v>0</v>
      </c>
      <c r="L77" s="17">
        <f>Test!B283</f>
        <v>0</v>
      </c>
      <c r="M77" s="18">
        <f>Test!C283</f>
        <v>0</v>
      </c>
      <c r="N77" s="18">
        <f>Test!D283</f>
        <v>0</v>
      </c>
      <c r="O77" s="18">
        <f>Test!E283</f>
        <v>0</v>
      </c>
      <c r="P77" s="18">
        <f>Test!F283</f>
        <v>0</v>
      </c>
      <c r="Q77" s="18">
        <f>Test!G283</f>
        <v>0</v>
      </c>
      <c r="R77" s="19">
        <f t="shared" si="1"/>
        <v>0</v>
      </c>
      <c r="S77" s="18" t="e">
        <f t="shared" si="5"/>
        <v>#DIV/0!</v>
      </c>
      <c r="T77" s="18" t="e">
        <f t="shared" si="5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Reference!B284</f>
        <v>0</v>
      </c>
      <c r="E78" s="23">
        <f>Reference!C284</f>
        <v>0</v>
      </c>
      <c r="F78" s="23">
        <f>Reference!D284</f>
        <v>0</v>
      </c>
      <c r="G78" s="23">
        <f>Reference!E284</f>
        <v>0</v>
      </c>
      <c r="H78" s="23">
        <f>Reference!F284</f>
        <v>0</v>
      </c>
      <c r="I78" s="23">
        <f>Reference!G284</f>
        <v>0</v>
      </c>
      <c r="J78" s="24">
        <f t="shared" si="3"/>
        <v>0</v>
      </c>
      <c r="L78" s="22">
        <f>Test!B284</f>
        <v>0</v>
      </c>
      <c r="M78" s="23">
        <f>Test!C284</f>
        <v>0</v>
      </c>
      <c r="N78" s="23">
        <f>Test!D284</f>
        <v>0</v>
      </c>
      <c r="O78" s="23">
        <f>Test!E284</f>
        <v>0</v>
      </c>
      <c r="P78" s="23">
        <f>Test!F284</f>
        <v>0</v>
      </c>
      <c r="Q78" s="23">
        <f>Test!G284</f>
        <v>0</v>
      </c>
      <c r="R78" s="24">
        <f t="shared" si="1"/>
        <v>0</v>
      </c>
      <c r="S78" s="23" t="e">
        <f t="shared" si="5"/>
        <v>#DIV/0!</v>
      </c>
      <c r="T78" s="23" t="e">
        <f t="shared" si="5"/>
        <v>#DIV/0!</v>
      </c>
      <c r="U78" s="60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>
        <f>Reference!B285</f>
        <v>2226.2568000000001</v>
      </c>
      <c r="E79" s="13">
        <f>Reference!C285</f>
        <v>42.529000000000003</v>
      </c>
      <c r="F79" s="13">
        <f>Reference!D285</f>
        <v>46.305900000000001</v>
      </c>
      <c r="G79" s="13">
        <f>Reference!E285</f>
        <v>47.539400000000001</v>
      </c>
      <c r="H79" s="13">
        <f>Reference!F285</f>
        <v>9477.5720000000001</v>
      </c>
      <c r="I79" s="13">
        <f>Reference!G285</f>
        <v>0</v>
      </c>
      <c r="J79" s="14">
        <f t="shared" si="3"/>
        <v>2.6326588888888889</v>
      </c>
      <c r="L79" s="12">
        <f>Test!B285</f>
        <v>0</v>
      </c>
      <c r="M79" s="13">
        <f>Test!C285</f>
        <v>0</v>
      </c>
      <c r="N79" s="13">
        <f>Test!D285</f>
        <v>0</v>
      </c>
      <c r="O79" s="13">
        <f>Test!E285</f>
        <v>0</v>
      </c>
      <c r="P79" s="13">
        <f>Test!F285</f>
        <v>0</v>
      </c>
      <c r="Q79" s="13">
        <f>Test!G285</f>
        <v>0</v>
      </c>
      <c r="R79" s="14">
        <f t="shared" si="1"/>
        <v>0</v>
      </c>
      <c r="S79" s="13">
        <f t="shared" si="5"/>
        <v>0</v>
      </c>
      <c r="T79" s="13" t="e">
        <f t="shared" si="5"/>
        <v>#DIV/0!</v>
      </c>
      <c r="U79" s="58"/>
      <c r="V79" s="41" t="e">
        <f>bdrate($D79:$D82,E79:E82,$L79:$L82,M79:M82)</f>
        <v>#VALUE!</v>
      </c>
      <c r="W79" s="46" t="e">
        <f>bdrate($D79:$D82,F79:F82,$L79:$L82,N79:N82)</f>
        <v>#VALUE!</v>
      </c>
      <c r="X79" s="47" t="e">
        <f>bdrate($D79:$D82,G79:G82,$L79:$L82,O79:O82)</f>
        <v>#VALUE!</v>
      </c>
      <c r="Y79" s="41" t="e">
        <f>bdrateOld($D79:$D82,E79:E82,$L79:$L82,M79:M82)</f>
        <v>#VALUE!</v>
      </c>
      <c r="Z79" s="46" t="e">
        <f>bdrateOld($D79:$D82,F79:F82,$L79:$L82,N79:N82)</f>
        <v>#VALUE!</v>
      </c>
      <c r="AA79" s="47" t="e">
        <f>bdrateOld($D79:$D82,G79:G82,$L79:$L82,O79:O82)</f>
        <v>#VALUE!</v>
      </c>
    </row>
    <row r="80" spans="1:27" x14ac:dyDescent="0.2">
      <c r="A80" s="16" t="s">
        <v>49</v>
      </c>
      <c r="B80" s="16"/>
      <c r="C80" s="16">
        <v>27</v>
      </c>
      <c r="D80" s="17">
        <f>Reference!B286</f>
        <v>865.4</v>
      </c>
      <c r="E80" s="18">
        <f>Reference!C286</f>
        <v>40.229300000000002</v>
      </c>
      <c r="F80" s="18">
        <f>Reference!D286</f>
        <v>44.227200000000003</v>
      </c>
      <c r="G80" s="18">
        <f>Reference!E286</f>
        <v>45.488599999999998</v>
      </c>
      <c r="H80" s="18">
        <f>Reference!F286</f>
        <v>8448.9470000000001</v>
      </c>
      <c r="I80" s="18">
        <f>Reference!G286</f>
        <v>0</v>
      </c>
      <c r="J80" s="19">
        <f t="shared" si="3"/>
        <v>2.3469297222222223</v>
      </c>
      <c r="L80" s="17">
        <f>Test!B286</f>
        <v>0</v>
      </c>
      <c r="M80" s="18">
        <f>Test!C286</f>
        <v>0</v>
      </c>
      <c r="N80" s="18">
        <f>Test!D286</f>
        <v>0</v>
      </c>
      <c r="O80" s="18">
        <f>Test!E286</f>
        <v>0</v>
      </c>
      <c r="P80" s="18">
        <f>Test!F286</f>
        <v>0</v>
      </c>
      <c r="Q80" s="18">
        <f>Test!G286</f>
        <v>0</v>
      </c>
      <c r="R80" s="19">
        <f t="shared" ref="R80:R106" si="6">P80/3600</f>
        <v>0</v>
      </c>
      <c r="S80" s="18">
        <f t="shared" si="5"/>
        <v>0</v>
      </c>
      <c r="T80" s="18" t="e">
        <f t="shared" si="5"/>
        <v>#DIV/0!</v>
      </c>
      <c r="U80" s="59"/>
      <c r="V80" s="42"/>
      <c r="W80" s="25"/>
      <c r="X80" s="54"/>
      <c r="Y80" s="42"/>
      <c r="Z80" s="25"/>
      <c r="AA80" s="54"/>
    </row>
    <row r="81" spans="1:27" x14ac:dyDescent="0.2">
      <c r="A81" s="16"/>
      <c r="B81" s="16"/>
      <c r="C81" s="16">
        <v>32</v>
      </c>
      <c r="D81" s="17">
        <f>Reference!B287</f>
        <v>422.85520000000002</v>
      </c>
      <c r="E81" s="18">
        <f>Reference!C287</f>
        <v>37.574599999999997</v>
      </c>
      <c r="F81" s="18">
        <f>Reference!D287</f>
        <v>42.425699999999999</v>
      </c>
      <c r="G81" s="18">
        <f>Reference!E287</f>
        <v>43.6113</v>
      </c>
      <c r="H81" s="18">
        <f>Reference!F287</f>
        <v>7951.0749999999998</v>
      </c>
      <c r="I81" s="18">
        <f>Reference!G287</f>
        <v>0</v>
      </c>
      <c r="J81" s="19">
        <f t="shared" si="3"/>
        <v>2.2086319444444444</v>
      </c>
      <c r="L81" s="17">
        <f>Test!B287</f>
        <v>0</v>
      </c>
      <c r="M81" s="18">
        <f>Test!C287</f>
        <v>0</v>
      </c>
      <c r="N81" s="18">
        <f>Test!D287</f>
        <v>0</v>
      </c>
      <c r="O81" s="18">
        <f>Test!E287</f>
        <v>0</v>
      </c>
      <c r="P81" s="18">
        <f>Test!F287</f>
        <v>0</v>
      </c>
      <c r="Q81" s="18">
        <f>Test!G287</f>
        <v>0</v>
      </c>
      <c r="R81" s="19">
        <f t="shared" si="6"/>
        <v>0</v>
      </c>
      <c r="S81" s="18">
        <f t="shared" si="5"/>
        <v>0</v>
      </c>
      <c r="T81" s="18" t="e">
        <f t="shared" si="5"/>
        <v>#DIV/0!</v>
      </c>
      <c r="U81" s="59"/>
      <c r="V81" s="42"/>
      <c r="W81" s="25"/>
      <c r="X81" s="54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>
        <f>Reference!B288</f>
        <v>220.05760000000001</v>
      </c>
      <c r="E82" s="23">
        <f>Reference!C288</f>
        <v>34.624400000000001</v>
      </c>
      <c r="F82" s="23">
        <f>Reference!D288</f>
        <v>41.163600000000002</v>
      </c>
      <c r="G82" s="23">
        <f>Reference!E288</f>
        <v>42.268500000000003</v>
      </c>
      <c r="H82" s="23">
        <f>Reference!F288</f>
        <v>7628.2389999999996</v>
      </c>
      <c r="I82" s="23">
        <f>Reference!G288</f>
        <v>0</v>
      </c>
      <c r="J82" s="24">
        <f t="shared" si="3"/>
        <v>2.1189552777777778</v>
      </c>
      <c r="L82" s="22">
        <f>Test!B288</f>
        <v>0</v>
      </c>
      <c r="M82" s="23">
        <f>Test!C288</f>
        <v>0</v>
      </c>
      <c r="N82" s="23">
        <f>Test!D288</f>
        <v>0</v>
      </c>
      <c r="O82" s="23">
        <f>Test!E288</f>
        <v>0</v>
      </c>
      <c r="P82" s="23">
        <f>Test!F288</f>
        <v>0</v>
      </c>
      <c r="Q82" s="23">
        <f>Test!G288</f>
        <v>0</v>
      </c>
      <c r="R82" s="24">
        <f t="shared" si="6"/>
        <v>0</v>
      </c>
      <c r="S82" s="18">
        <f t="shared" si="5"/>
        <v>0</v>
      </c>
      <c r="T82" s="18" t="e">
        <f t="shared" si="5"/>
        <v>#DIV/0!</v>
      </c>
      <c r="U82" s="59"/>
      <c r="V82" s="43"/>
      <c r="W82" s="55"/>
      <c r="X82" s="56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>
        <f>Reference!B289</f>
        <v>1507.4567999999999</v>
      </c>
      <c r="E83" s="13">
        <f>Reference!C289</f>
        <v>42.958199999999998</v>
      </c>
      <c r="F83" s="13">
        <f>Reference!D289</f>
        <v>47.854599999999998</v>
      </c>
      <c r="G83" s="13">
        <f>Reference!E289</f>
        <v>48.444000000000003</v>
      </c>
      <c r="H83" s="13">
        <f>Reference!F289</f>
        <v>9143.3729999999996</v>
      </c>
      <c r="I83" s="13">
        <f>Reference!G289</f>
        <v>0</v>
      </c>
      <c r="J83" s="14">
        <f t="shared" si="3"/>
        <v>2.539825833333333</v>
      </c>
      <c r="L83" s="12">
        <f>Test!B289</f>
        <v>0</v>
      </c>
      <c r="M83" s="13">
        <f>Test!C289</f>
        <v>0</v>
      </c>
      <c r="N83" s="13">
        <f>Test!D289</f>
        <v>0</v>
      </c>
      <c r="O83" s="13">
        <f>Test!E289</f>
        <v>0</v>
      </c>
      <c r="P83" s="13">
        <f>Test!F289</f>
        <v>0</v>
      </c>
      <c r="Q83" s="13">
        <f>Test!G289</f>
        <v>0</v>
      </c>
      <c r="R83" s="14">
        <f t="shared" si="6"/>
        <v>0</v>
      </c>
      <c r="S83" s="18">
        <f t="shared" si="5"/>
        <v>0</v>
      </c>
      <c r="T83" s="18" t="e">
        <f t="shared" si="5"/>
        <v>#DIV/0!</v>
      </c>
      <c r="U83" s="59"/>
      <c r="V83" s="41" t="e">
        <f>bdrate($D83:$D86,E83:E86,$L83:$L86,M83:M86)</f>
        <v>#VALUE!</v>
      </c>
      <c r="W83" s="46" t="e">
        <f>bdrate($D83:$D86,F83:F86,$L83:$L86,N83:N86)</f>
        <v>#VALUE!</v>
      </c>
      <c r="X83" s="46" t="e">
        <f>bdrate($D83:$D86,G83:G86,$L83:$L86,O83:O86)</f>
        <v>#VALUE!</v>
      </c>
      <c r="Y83" s="44" t="e">
        <f>bdrateOld($D83:$D86,E83:E86,$L83:$L86,M83:M86)</f>
        <v>#VALUE!</v>
      </c>
      <c r="Z83" s="48" t="e">
        <f>bdrateOld($D83:$D86,F83:F86,$L83:$L86,N83:N86)</f>
        <v>#VALUE!</v>
      </c>
      <c r="AA83" s="49" t="e">
        <f>bdrateOld($D83:$D86,G83:G86,$L83:$L86,O83:O86)</f>
        <v>#VALUE!</v>
      </c>
    </row>
    <row r="84" spans="1:27" x14ac:dyDescent="0.2">
      <c r="A84" s="16"/>
      <c r="B84" s="16"/>
      <c r="C84" s="16">
        <v>27</v>
      </c>
      <c r="D84" s="17">
        <f>Reference!B290</f>
        <v>416.87759999999997</v>
      </c>
      <c r="E84" s="18">
        <f>Reference!C290</f>
        <v>41.137799999999999</v>
      </c>
      <c r="F84" s="18">
        <f>Reference!D290</f>
        <v>46.136400000000002</v>
      </c>
      <c r="G84" s="18">
        <f>Reference!E290</f>
        <v>46.826500000000003</v>
      </c>
      <c r="H84" s="18">
        <f>Reference!F290</f>
        <v>8097.77</v>
      </c>
      <c r="I84" s="18">
        <f>Reference!G290</f>
        <v>0</v>
      </c>
      <c r="J84" s="19">
        <f t="shared" si="3"/>
        <v>2.2493805555555557</v>
      </c>
      <c r="L84" s="17">
        <f>Test!B290</f>
        <v>0</v>
      </c>
      <c r="M84" s="18">
        <f>Test!C290</f>
        <v>0</v>
      </c>
      <c r="N84" s="18">
        <f>Test!D290</f>
        <v>0</v>
      </c>
      <c r="O84" s="18">
        <f>Test!E290</f>
        <v>0</v>
      </c>
      <c r="P84" s="18">
        <f>Test!F290</f>
        <v>0</v>
      </c>
      <c r="Q84" s="18">
        <f>Test!G290</f>
        <v>0</v>
      </c>
      <c r="R84" s="19">
        <f t="shared" si="6"/>
        <v>0</v>
      </c>
      <c r="S84" s="18">
        <f t="shared" si="5"/>
        <v>0</v>
      </c>
      <c r="T84" s="18" t="e">
        <f t="shared" si="5"/>
        <v>#DIV/0!</v>
      </c>
      <c r="U84" s="59"/>
      <c r="V84" s="42"/>
      <c r="W84" s="25"/>
      <c r="X84" s="25"/>
      <c r="Y84" s="42"/>
      <c r="Z84" s="25"/>
      <c r="AA84" s="54"/>
    </row>
    <row r="85" spans="1:27" x14ac:dyDescent="0.2">
      <c r="A85" s="16"/>
      <c r="B85" s="16"/>
      <c r="C85" s="16">
        <v>32</v>
      </c>
      <c r="D85" s="17">
        <f>Reference!B291</f>
        <v>184.49520000000001</v>
      </c>
      <c r="E85" s="18">
        <f>Reference!C291</f>
        <v>38.992600000000003</v>
      </c>
      <c r="F85" s="18">
        <f>Reference!D291</f>
        <v>44.529000000000003</v>
      </c>
      <c r="G85" s="18">
        <f>Reference!E291</f>
        <v>44.967799999999997</v>
      </c>
      <c r="H85" s="18">
        <f>Reference!F291</f>
        <v>7695.8379999999997</v>
      </c>
      <c r="I85" s="18">
        <f>Reference!G291</f>
        <v>0</v>
      </c>
      <c r="J85" s="19">
        <f t="shared" si="3"/>
        <v>2.1377327777777779</v>
      </c>
      <c r="L85" s="17">
        <f>Test!B291</f>
        <v>0</v>
      </c>
      <c r="M85" s="18">
        <f>Test!C291</f>
        <v>0</v>
      </c>
      <c r="N85" s="18">
        <f>Test!D291</f>
        <v>0</v>
      </c>
      <c r="O85" s="18">
        <f>Test!E291</f>
        <v>0</v>
      </c>
      <c r="P85" s="18">
        <f>Test!F291</f>
        <v>0</v>
      </c>
      <c r="Q85" s="18">
        <f>Test!G291</f>
        <v>0</v>
      </c>
      <c r="R85" s="19">
        <f t="shared" si="6"/>
        <v>0</v>
      </c>
      <c r="S85" s="18">
        <f t="shared" si="5"/>
        <v>0</v>
      </c>
      <c r="T85" s="18" t="e">
        <f t="shared" si="5"/>
        <v>#DIV/0!</v>
      </c>
      <c r="U85" s="59"/>
      <c r="V85" s="42"/>
      <c r="W85" s="25"/>
      <c r="X85" s="25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>
        <f>Reference!B292</f>
        <v>96.075999999999993</v>
      </c>
      <c r="E86" s="23">
        <f>Reference!C292</f>
        <v>36.467799999999997</v>
      </c>
      <c r="F86" s="23">
        <f>Reference!D292</f>
        <v>43.226799999999997</v>
      </c>
      <c r="G86" s="23">
        <f>Reference!E292</f>
        <v>43.624499999999998</v>
      </c>
      <c r="H86" s="23">
        <f>Reference!F292</f>
        <v>7462.3689999999997</v>
      </c>
      <c r="I86" s="23">
        <f>Reference!G292</f>
        <v>0</v>
      </c>
      <c r="J86" s="24">
        <f t="shared" si="3"/>
        <v>2.0728802777777777</v>
      </c>
      <c r="L86" s="22">
        <f>Test!B292</f>
        <v>0</v>
      </c>
      <c r="M86" s="23">
        <f>Test!C292</f>
        <v>0</v>
      </c>
      <c r="N86" s="23">
        <f>Test!D292</f>
        <v>0</v>
      </c>
      <c r="O86" s="23">
        <f>Test!E292</f>
        <v>0</v>
      </c>
      <c r="P86" s="23">
        <f>Test!F292</f>
        <v>0</v>
      </c>
      <c r="Q86" s="23">
        <f>Test!G292</f>
        <v>0</v>
      </c>
      <c r="R86" s="24">
        <f t="shared" si="6"/>
        <v>0</v>
      </c>
      <c r="S86" s="18">
        <f t="shared" si="5"/>
        <v>0</v>
      </c>
      <c r="T86" s="18" t="e">
        <f t="shared" si="5"/>
        <v>#DIV/0!</v>
      </c>
      <c r="U86" s="59"/>
      <c r="V86" s="43"/>
      <c r="W86" s="55"/>
      <c r="X86" s="55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>
        <f>Reference!B293</f>
        <v>1968.3943999999999</v>
      </c>
      <c r="E87" s="13">
        <f>Reference!C293</f>
        <v>43.222099999999998</v>
      </c>
      <c r="F87" s="13">
        <f>Reference!D293</f>
        <v>47.037599999999998</v>
      </c>
      <c r="G87" s="13">
        <f>Reference!E293</f>
        <v>47.9955</v>
      </c>
      <c r="H87" s="13">
        <f>Reference!F293</f>
        <v>9820.1710000000003</v>
      </c>
      <c r="I87" s="13">
        <f>Reference!G293</f>
        <v>0</v>
      </c>
      <c r="J87" s="14">
        <f t="shared" si="3"/>
        <v>2.7278252777777778</v>
      </c>
      <c r="L87" s="12">
        <f>Test!B293</f>
        <v>0</v>
      </c>
      <c r="M87" s="13">
        <f>Test!C293</f>
        <v>0</v>
      </c>
      <c r="N87" s="13">
        <f>Test!D293</f>
        <v>0</v>
      </c>
      <c r="O87" s="13">
        <f>Test!E293</f>
        <v>0</v>
      </c>
      <c r="P87" s="13">
        <f>Test!F293</f>
        <v>0</v>
      </c>
      <c r="Q87" s="13">
        <f>Test!G293</f>
        <v>0</v>
      </c>
      <c r="R87" s="14">
        <f t="shared" si="6"/>
        <v>0</v>
      </c>
      <c r="S87" s="18">
        <f t="shared" ref="S87:T106" si="7">P87/H87</f>
        <v>0</v>
      </c>
      <c r="T87" s="18" t="e">
        <f t="shared" si="7"/>
        <v>#DIV/0!</v>
      </c>
      <c r="U87" s="59"/>
      <c r="V87" s="41" t="e">
        <f>bdrate($D87:$D90,E87:E90,$L87:$L90,M87:M90)</f>
        <v>#VALUE!</v>
      </c>
      <c r="W87" s="46" t="e">
        <f>bdrate($D87:$D90,F87:F90,$L87:$L90,N87:N90)</f>
        <v>#VALUE!</v>
      </c>
      <c r="X87" s="46" t="e">
        <f>bdrate($D87:$D90,G87:G90,$L87:$L90,O87:O90)</f>
        <v>#VALUE!</v>
      </c>
      <c r="Y87" s="44" t="e">
        <f>bdrateOld($D87:$D90,E87:E90,$L87:$L90,M87:M90)</f>
        <v>#VALUE!</v>
      </c>
      <c r="Z87" s="48" t="e">
        <f>bdrateOld($D87:$D90,F87:F90,$L87:$L90,N87:N90)</f>
        <v>#VALUE!</v>
      </c>
      <c r="AA87" s="49" t="e">
        <f>bdrateOld($D87:$D90,G87:G90,$L87:$L90,O87:O90)</f>
        <v>#VALUE!</v>
      </c>
    </row>
    <row r="88" spans="1:27" x14ac:dyDescent="0.2">
      <c r="A88" s="16"/>
      <c r="B88" s="16"/>
      <c r="C88" s="16">
        <v>27</v>
      </c>
      <c r="D88" s="17">
        <f>Reference!B294</f>
        <v>698.15039999999999</v>
      </c>
      <c r="E88" s="18">
        <f>Reference!C294</f>
        <v>41.080100000000002</v>
      </c>
      <c r="F88" s="18">
        <f>Reference!D294</f>
        <v>45.2331</v>
      </c>
      <c r="G88" s="18">
        <f>Reference!E294</f>
        <v>46.097499999999997</v>
      </c>
      <c r="H88" s="18">
        <f>Reference!F294</f>
        <v>8747.7749999999996</v>
      </c>
      <c r="I88" s="18">
        <f>Reference!G294</f>
        <v>0</v>
      </c>
      <c r="J88" s="19">
        <f t="shared" si="3"/>
        <v>2.4299374999999999</v>
      </c>
      <c r="L88" s="17">
        <f>Test!B294</f>
        <v>0</v>
      </c>
      <c r="M88" s="18">
        <f>Test!C294</f>
        <v>0</v>
      </c>
      <c r="N88" s="18">
        <f>Test!D294</f>
        <v>0</v>
      </c>
      <c r="O88" s="18">
        <f>Test!E294</f>
        <v>0</v>
      </c>
      <c r="P88" s="18">
        <f>Test!F294</f>
        <v>0</v>
      </c>
      <c r="Q88" s="18">
        <f>Test!G294</f>
        <v>0</v>
      </c>
      <c r="R88" s="19">
        <f t="shared" si="6"/>
        <v>0</v>
      </c>
      <c r="S88" s="18">
        <f t="shared" si="7"/>
        <v>0</v>
      </c>
      <c r="T88" s="18" t="e">
        <f t="shared" si="7"/>
        <v>#DIV/0!</v>
      </c>
      <c r="U88" s="59"/>
      <c r="V88" s="42"/>
      <c r="W88" s="25"/>
      <c r="X88" s="25"/>
      <c r="Y88" s="42"/>
      <c r="Z88" s="25"/>
      <c r="AA88" s="54"/>
    </row>
    <row r="89" spans="1:27" x14ac:dyDescent="0.2">
      <c r="A89" s="16"/>
      <c r="B89" s="16"/>
      <c r="C89" s="16">
        <v>32</v>
      </c>
      <c r="D89" s="17">
        <f>Reference!B295</f>
        <v>315.7912</v>
      </c>
      <c r="E89" s="18">
        <f>Reference!C295</f>
        <v>38.652000000000001</v>
      </c>
      <c r="F89" s="18">
        <f>Reference!D295</f>
        <v>43.384099999999997</v>
      </c>
      <c r="G89" s="18">
        <f>Reference!E295</f>
        <v>44.341700000000003</v>
      </c>
      <c r="H89" s="18">
        <f>Reference!F295</f>
        <v>8186.6679999999997</v>
      </c>
      <c r="I89" s="18">
        <f>Reference!G295</f>
        <v>0</v>
      </c>
      <c r="J89" s="19">
        <f t="shared" si="3"/>
        <v>2.2740744444444445</v>
      </c>
      <c r="L89" s="17">
        <f>Test!B295</f>
        <v>0</v>
      </c>
      <c r="M89" s="18">
        <f>Test!C295</f>
        <v>0</v>
      </c>
      <c r="N89" s="18">
        <f>Test!D295</f>
        <v>0</v>
      </c>
      <c r="O89" s="18">
        <f>Test!E295</f>
        <v>0</v>
      </c>
      <c r="P89" s="18">
        <f>Test!F295</f>
        <v>0</v>
      </c>
      <c r="Q89" s="18">
        <f>Test!G295</f>
        <v>0</v>
      </c>
      <c r="R89" s="19">
        <f t="shared" si="6"/>
        <v>0</v>
      </c>
      <c r="S89" s="18">
        <f t="shared" si="7"/>
        <v>0</v>
      </c>
      <c r="T89" s="18" t="e">
        <f t="shared" si="7"/>
        <v>#DIV/0!</v>
      </c>
      <c r="U89" s="59"/>
      <c r="V89" s="42"/>
      <c r="W89" s="25"/>
      <c r="X89" s="25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>
        <f>Reference!B296</f>
        <v>161.06399999999999</v>
      </c>
      <c r="E90" s="23">
        <f>Reference!C296</f>
        <v>35.936199999999999</v>
      </c>
      <c r="F90" s="23">
        <f>Reference!D296</f>
        <v>42.1021</v>
      </c>
      <c r="G90" s="23">
        <f>Reference!E296</f>
        <v>42.9435</v>
      </c>
      <c r="H90" s="23">
        <f>Reference!F296</f>
        <v>7797.0990000000002</v>
      </c>
      <c r="I90" s="23">
        <f>Reference!G296</f>
        <v>0</v>
      </c>
      <c r="J90" s="24">
        <f t="shared" si="3"/>
        <v>2.1658608333333333</v>
      </c>
      <c r="L90" s="22">
        <f>Test!B296</f>
        <v>0</v>
      </c>
      <c r="M90" s="23">
        <f>Test!C296</f>
        <v>0</v>
      </c>
      <c r="N90" s="23">
        <f>Test!D296</f>
        <v>0</v>
      </c>
      <c r="O90" s="23">
        <f>Test!E296</f>
        <v>0</v>
      </c>
      <c r="P90" s="23">
        <f>Test!F296</f>
        <v>0</v>
      </c>
      <c r="Q90" s="23">
        <f>Test!G296</f>
        <v>0</v>
      </c>
      <c r="R90" s="24">
        <f t="shared" si="6"/>
        <v>0</v>
      </c>
      <c r="S90" s="18">
        <f t="shared" si="7"/>
        <v>0</v>
      </c>
      <c r="T90" s="18" t="e">
        <f t="shared" si="7"/>
        <v>#DIV/0!</v>
      </c>
      <c r="U90" s="59"/>
      <c r="V90" s="43"/>
      <c r="W90" s="55"/>
      <c r="X90" s="55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Reference!B297</f>
        <v>0</v>
      </c>
      <c r="E91" s="13">
        <f>Reference!C297</f>
        <v>0</v>
      </c>
      <c r="F91" s="13">
        <f>Reference!D297</f>
        <v>0</v>
      </c>
      <c r="G91" s="13">
        <f>Reference!E297</f>
        <v>0</v>
      </c>
      <c r="H91" s="13">
        <f>Reference!F297</f>
        <v>0</v>
      </c>
      <c r="I91" s="13">
        <f>Reference!G297</f>
        <v>0</v>
      </c>
      <c r="J91" s="14">
        <f t="shared" si="3"/>
        <v>0</v>
      </c>
      <c r="L91" s="12">
        <f>Test!B297</f>
        <v>0</v>
      </c>
      <c r="M91" s="13">
        <f>Test!C297</f>
        <v>0</v>
      </c>
      <c r="N91" s="13">
        <f>Test!D297</f>
        <v>0</v>
      </c>
      <c r="O91" s="13">
        <f>Test!E297</f>
        <v>0</v>
      </c>
      <c r="P91" s="13">
        <f>Test!F297</f>
        <v>0</v>
      </c>
      <c r="Q91" s="13">
        <f>Test!G297</f>
        <v>0</v>
      </c>
      <c r="R91" s="14">
        <f t="shared" si="6"/>
        <v>0</v>
      </c>
      <c r="S91" s="13" t="e">
        <f t="shared" si="7"/>
        <v>#DIV/0!</v>
      </c>
      <c r="T91" s="13" t="e">
        <f t="shared" si="7"/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 x14ac:dyDescent="0.2">
      <c r="A92" s="35"/>
      <c r="B92" s="35"/>
      <c r="C92" s="35">
        <v>27</v>
      </c>
      <c r="D92" s="17">
        <f>Reference!B298</f>
        <v>0</v>
      </c>
      <c r="E92" s="18">
        <f>Reference!C298</f>
        <v>0</v>
      </c>
      <c r="F92" s="18">
        <f>Reference!D298</f>
        <v>0</v>
      </c>
      <c r="G92" s="18">
        <f>Reference!E298</f>
        <v>0</v>
      </c>
      <c r="H92" s="18">
        <f>Reference!F298</f>
        <v>0</v>
      </c>
      <c r="I92" s="18">
        <f>Reference!G298</f>
        <v>0</v>
      </c>
      <c r="J92" s="19">
        <f t="shared" ref="J92:J106" si="8">H92/3600</f>
        <v>0</v>
      </c>
      <c r="L92" s="17">
        <f>Test!B298</f>
        <v>0</v>
      </c>
      <c r="M92" s="18">
        <f>Test!C298</f>
        <v>0</v>
      </c>
      <c r="N92" s="18">
        <f>Test!D298</f>
        <v>0</v>
      </c>
      <c r="O92" s="18">
        <f>Test!E298</f>
        <v>0</v>
      </c>
      <c r="P92" s="18">
        <f>Test!F298</f>
        <v>0</v>
      </c>
      <c r="Q92" s="18">
        <f>Test!G298</f>
        <v>0</v>
      </c>
      <c r="R92" s="19">
        <f t="shared" si="6"/>
        <v>0</v>
      </c>
      <c r="S92" s="18" t="e">
        <f t="shared" si="7"/>
        <v>#DIV/0!</v>
      </c>
      <c r="T92" s="18" t="e">
        <f t="shared" si="7"/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Reference!B299</f>
        <v>0</v>
      </c>
      <c r="E93" s="18">
        <f>Reference!C299</f>
        <v>0</v>
      </c>
      <c r="F93" s="18">
        <f>Reference!D299</f>
        <v>0</v>
      </c>
      <c r="G93" s="18">
        <f>Reference!E299</f>
        <v>0</v>
      </c>
      <c r="H93" s="18">
        <f>Reference!F299</f>
        <v>0</v>
      </c>
      <c r="I93" s="18">
        <f>Reference!G299</f>
        <v>0</v>
      </c>
      <c r="J93" s="19">
        <f t="shared" si="8"/>
        <v>0</v>
      </c>
      <c r="L93" s="17">
        <f>Test!B299</f>
        <v>0</v>
      </c>
      <c r="M93" s="18">
        <f>Test!C299</f>
        <v>0</v>
      </c>
      <c r="N93" s="18">
        <f>Test!D299</f>
        <v>0</v>
      </c>
      <c r="O93" s="18">
        <f>Test!E299</f>
        <v>0</v>
      </c>
      <c r="P93" s="18">
        <f>Test!F299</f>
        <v>0</v>
      </c>
      <c r="Q93" s="18">
        <f>Test!G299</f>
        <v>0</v>
      </c>
      <c r="R93" s="19">
        <f t="shared" si="6"/>
        <v>0</v>
      </c>
      <c r="S93" s="18" t="e">
        <f t="shared" si="7"/>
        <v>#DIV/0!</v>
      </c>
      <c r="T93" s="18" t="e">
        <f t="shared" si="7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Reference!B300</f>
        <v>0</v>
      </c>
      <c r="E94" s="23">
        <f>Reference!C300</f>
        <v>0</v>
      </c>
      <c r="F94" s="23">
        <f>Reference!D300</f>
        <v>0</v>
      </c>
      <c r="G94" s="23">
        <f>Reference!E300</f>
        <v>0</v>
      </c>
      <c r="H94" s="23">
        <f>Reference!F300</f>
        <v>0</v>
      </c>
      <c r="I94" s="23">
        <f>Reference!G300</f>
        <v>0</v>
      </c>
      <c r="J94" s="24">
        <f t="shared" si="8"/>
        <v>0</v>
      </c>
      <c r="L94" s="22">
        <f>Test!B300</f>
        <v>0</v>
      </c>
      <c r="M94" s="23">
        <f>Test!C300</f>
        <v>0</v>
      </c>
      <c r="N94" s="23">
        <f>Test!D300</f>
        <v>0</v>
      </c>
      <c r="O94" s="23">
        <f>Test!E300</f>
        <v>0</v>
      </c>
      <c r="P94" s="23">
        <f>Test!F300</f>
        <v>0</v>
      </c>
      <c r="Q94" s="23">
        <f>Test!G300</f>
        <v>0</v>
      </c>
      <c r="R94" s="24">
        <f t="shared" si="6"/>
        <v>0</v>
      </c>
      <c r="S94" s="18" t="e">
        <f t="shared" si="7"/>
        <v>#DIV/0!</v>
      </c>
      <c r="T94" s="18" t="e">
        <f t="shared" si="7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Reference!B301</f>
        <v>0</v>
      </c>
      <c r="E95" s="13">
        <f>Reference!C301</f>
        <v>0</v>
      </c>
      <c r="F95" s="13">
        <f>Reference!D301</f>
        <v>0</v>
      </c>
      <c r="G95" s="13">
        <f>Reference!E301</f>
        <v>0</v>
      </c>
      <c r="H95" s="13">
        <f>Reference!F301</f>
        <v>0</v>
      </c>
      <c r="I95" s="13">
        <f>Reference!G301</f>
        <v>0</v>
      </c>
      <c r="J95" s="14">
        <f t="shared" si="8"/>
        <v>0</v>
      </c>
      <c r="L95" s="12">
        <f>Test!B301</f>
        <v>0</v>
      </c>
      <c r="M95" s="13">
        <f>Test!C301</f>
        <v>0</v>
      </c>
      <c r="N95" s="13">
        <f>Test!D301</f>
        <v>0</v>
      </c>
      <c r="O95" s="13">
        <f>Test!E301</f>
        <v>0</v>
      </c>
      <c r="P95" s="13">
        <f>Test!F301</f>
        <v>0</v>
      </c>
      <c r="Q95" s="13">
        <f>Test!G301</f>
        <v>0</v>
      </c>
      <c r="R95" s="14">
        <f t="shared" si="6"/>
        <v>0</v>
      </c>
      <c r="S95" s="18" t="e">
        <f t="shared" si="7"/>
        <v>#DIV/0!</v>
      </c>
      <c r="T95" s="18" t="e">
        <f t="shared" si="7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 x14ac:dyDescent="0.2">
      <c r="A96" s="35"/>
      <c r="B96" s="35"/>
      <c r="C96" s="35">
        <v>27</v>
      </c>
      <c r="D96" s="17">
        <f>Reference!B302</f>
        <v>0</v>
      </c>
      <c r="E96" s="18">
        <f>Reference!C302</f>
        <v>0</v>
      </c>
      <c r="F96" s="18">
        <f>Reference!D302</f>
        <v>0</v>
      </c>
      <c r="G96" s="18">
        <f>Reference!E302</f>
        <v>0</v>
      </c>
      <c r="H96" s="18">
        <f>Reference!F302</f>
        <v>0</v>
      </c>
      <c r="I96" s="18">
        <f>Reference!G302</f>
        <v>0</v>
      </c>
      <c r="J96" s="19">
        <f t="shared" si="8"/>
        <v>0</v>
      </c>
      <c r="L96" s="17">
        <f>Test!B302</f>
        <v>0</v>
      </c>
      <c r="M96" s="18">
        <f>Test!C302</f>
        <v>0</v>
      </c>
      <c r="N96" s="18">
        <f>Test!D302</f>
        <v>0</v>
      </c>
      <c r="O96" s="18">
        <f>Test!E302</f>
        <v>0</v>
      </c>
      <c r="P96" s="18">
        <f>Test!F302</f>
        <v>0</v>
      </c>
      <c r="Q96" s="18">
        <f>Test!G302</f>
        <v>0</v>
      </c>
      <c r="R96" s="19">
        <f t="shared" si="6"/>
        <v>0</v>
      </c>
      <c r="S96" s="18" t="e">
        <f t="shared" si="7"/>
        <v>#DIV/0!</v>
      </c>
      <c r="T96" s="18" t="e">
        <f t="shared" si="7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Reference!B303</f>
        <v>0</v>
      </c>
      <c r="E97" s="18">
        <f>Reference!C303</f>
        <v>0</v>
      </c>
      <c r="F97" s="18">
        <f>Reference!D303</f>
        <v>0</v>
      </c>
      <c r="G97" s="18">
        <f>Reference!E303</f>
        <v>0</v>
      </c>
      <c r="H97" s="18">
        <f>Reference!F303</f>
        <v>0</v>
      </c>
      <c r="I97" s="18">
        <f>Reference!G303</f>
        <v>0</v>
      </c>
      <c r="J97" s="19">
        <f t="shared" si="8"/>
        <v>0</v>
      </c>
      <c r="L97" s="17">
        <f>Test!B303</f>
        <v>0</v>
      </c>
      <c r="M97" s="18">
        <f>Test!C303</f>
        <v>0</v>
      </c>
      <c r="N97" s="18">
        <f>Test!D303</f>
        <v>0</v>
      </c>
      <c r="O97" s="18">
        <f>Test!E303</f>
        <v>0</v>
      </c>
      <c r="P97" s="18">
        <f>Test!F303</f>
        <v>0</v>
      </c>
      <c r="Q97" s="18">
        <f>Test!G303</f>
        <v>0</v>
      </c>
      <c r="R97" s="19">
        <f t="shared" si="6"/>
        <v>0</v>
      </c>
      <c r="S97" s="18" t="e">
        <f t="shared" si="7"/>
        <v>#DIV/0!</v>
      </c>
      <c r="T97" s="18" t="e">
        <f t="shared" si="7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Reference!B304</f>
        <v>0</v>
      </c>
      <c r="E98" s="23">
        <f>Reference!C304</f>
        <v>0</v>
      </c>
      <c r="F98" s="23">
        <f>Reference!D304</f>
        <v>0</v>
      </c>
      <c r="G98" s="23">
        <f>Reference!E304</f>
        <v>0</v>
      </c>
      <c r="H98" s="23">
        <f>Reference!F304</f>
        <v>0</v>
      </c>
      <c r="I98" s="23">
        <f>Reference!G304</f>
        <v>0</v>
      </c>
      <c r="J98" s="24">
        <f t="shared" si="8"/>
        <v>0</v>
      </c>
      <c r="L98" s="22">
        <f>Test!B304</f>
        <v>0</v>
      </c>
      <c r="M98" s="23">
        <f>Test!C304</f>
        <v>0</v>
      </c>
      <c r="N98" s="23">
        <f>Test!D304</f>
        <v>0</v>
      </c>
      <c r="O98" s="23">
        <f>Test!E304</f>
        <v>0</v>
      </c>
      <c r="P98" s="23">
        <f>Test!F304</f>
        <v>0</v>
      </c>
      <c r="Q98" s="23">
        <f>Test!G304</f>
        <v>0</v>
      </c>
      <c r="R98" s="24">
        <f t="shared" si="6"/>
        <v>0</v>
      </c>
      <c r="S98" s="18" t="e">
        <f t="shared" si="7"/>
        <v>#DIV/0!</v>
      </c>
      <c r="T98" s="18" t="e">
        <f t="shared" si="7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Reference!B305</f>
        <v>0</v>
      </c>
      <c r="E99" s="13">
        <f>Reference!C305</f>
        <v>0</v>
      </c>
      <c r="F99" s="13">
        <f>Reference!D305</f>
        <v>0</v>
      </c>
      <c r="G99" s="13">
        <f>Reference!E305</f>
        <v>0</v>
      </c>
      <c r="H99" s="13">
        <f>Reference!F305</f>
        <v>0</v>
      </c>
      <c r="I99" s="13">
        <f>Reference!G305</f>
        <v>0</v>
      </c>
      <c r="J99" s="14">
        <f t="shared" si="8"/>
        <v>0</v>
      </c>
      <c r="L99" s="12">
        <f>Test!B305</f>
        <v>0</v>
      </c>
      <c r="M99" s="13">
        <f>Test!C305</f>
        <v>0</v>
      </c>
      <c r="N99" s="13">
        <f>Test!D305</f>
        <v>0</v>
      </c>
      <c r="O99" s="13">
        <f>Test!E305</f>
        <v>0</v>
      </c>
      <c r="P99" s="13">
        <f>Test!F305</f>
        <v>0</v>
      </c>
      <c r="Q99" s="13">
        <f>Test!G305</f>
        <v>0</v>
      </c>
      <c r="R99" s="14">
        <f t="shared" si="6"/>
        <v>0</v>
      </c>
      <c r="S99" s="18" t="e">
        <f t="shared" si="7"/>
        <v>#DIV/0!</v>
      </c>
      <c r="T99" s="18" t="e">
        <f t="shared" si="7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 x14ac:dyDescent="0.2">
      <c r="A100" s="35"/>
      <c r="B100" s="35"/>
      <c r="C100" s="35">
        <v>27</v>
      </c>
      <c r="D100" s="17">
        <f>Reference!B306</f>
        <v>0</v>
      </c>
      <c r="E100" s="18">
        <f>Reference!C306</f>
        <v>0</v>
      </c>
      <c r="F100" s="18">
        <f>Reference!D306</f>
        <v>0</v>
      </c>
      <c r="G100" s="18">
        <f>Reference!E306</f>
        <v>0</v>
      </c>
      <c r="H100" s="18">
        <f>Reference!F306</f>
        <v>0</v>
      </c>
      <c r="I100" s="18">
        <f>Reference!G306</f>
        <v>0</v>
      </c>
      <c r="J100" s="19">
        <f t="shared" si="8"/>
        <v>0</v>
      </c>
      <c r="L100" s="17">
        <f>Test!B306</f>
        <v>0</v>
      </c>
      <c r="M100" s="18">
        <f>Test!C306</f>
        <v>0</v>
      </c>
      <c r="N100" s="18">
        <f>Test!D306</f>
        <v>0</v>
      </c>
      <c r="O100" s="18">
        <f>Test!E306</f>
        <v>0</v>
      </c>
      <c r="P100" s="18">
        <f>Test!F306</f>
        <v>0</v>
      </c>
      <c r="Q100" s="18">
        <f>Test!G306</f>
        <v>0</v>
      </c>
      <c r="R100" s="19">
        <f t="shared" si="6"/>
        <v>0</v>
      </c>
      <c r="S100" s="18" t="e">
        <f t="shared" si="7"/>
        <v>#DIV/0!</v>
      </c>
      <c r="T100" s="18" t="e">
        <f t="shared" si="7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Reference!B307</f>
        <v>0</v>
      </c>
      <c r="E101" s="18">
        <f>Reference!C307</f>
        <v>0</v>
      </c>
      <c r="F101" s="18">
        <f>Reference!D307</f>
        <v>0</v>
      </c>
      <c r="G101" s="18">
        <f>Reference!E307</f>
        <v>0</v>
      </c>
      <c r="H101" s="18">
        <f>Reference!F307</f>
        <v>0</v>
      </c>
      <c r="I101" s="18">
        <f>Reference!G307</f>
        <v>0</v>
      </c>
      <c r="J101" s="19">
        <f t="shared" si="8"/>
        <v>0</v>
      </c>
      <c r="L101" s="17">
        <f>Test!B307</f>
        <v>0</v>
      </c>
      <c r="M101" s="18">
        <f>Test!C307</f>
        <v>0</v>
      </c>
      <c r="N101" s="18">
        <f>Test!D307</f>
        <v>0</v>
      </c>
      <c r="O101" s="18">
        <f>Test!E307</f>
        <v>0</v>
      </c>
      <c r="P101" s="18">
        <f>Test!F307</f>
        <v>0</v>
      </c>
      <c r="Q101" s="18">
        <f>Test!G307</f>
        <v>0</v>
      </c>
      <c r="R101" s="19">
        <f t="shared" si="6"/>
        <v>0</v>
      </c>
      <c r="S101" s="18" t="e">
        <f t="shared" si="7"/>
        <v>#DIV/0!</v>
      </c>
      <c r="T101" s="18" t="e">
        <f t="shared" si="7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Reference!B308</f>
        <v>0</v>
      </c>
      <c r="E102" s="23">
        <f>Reference!C308</f>
        <v>0</v>
      </c>
      <c r="F102" s="23">
        <f>Reference!D308</f>
        <v>0</v>
      </c>
      <c r="G102" s="23">
        <f>Reference!E308</f>
        <v>0</v>
      </c>
      <c r="H102" s="23">
        <f>Reference!F308</f>
        <v>0</v>
      </c>
      <c r="I102" s="23">
        <f>Reference!G308</f>
        <v>0</v>
      </c>
      <c r="J102" s="24">
        <f t="shared" si="8"/>
        <v>0</v>
      </c>
      <c r="L102" s="22">
        <f>Test!B308</f>
        <v>0</v>
      </c>
      <c r="M102" s="23">
        <f>Test!C308</f>
        <v>0</v>
      </c>
      <c r="N102" s="23">
        <f>Test!D308</f>
        <v>0</v>
      </c>
      <c r="O102" s="23">
        <f>Test!E308</f>
        <v>0</v>
      </c>
      <c r="P102" s="23">
        <f>Test!F308</f>
        <v>0</v>
      </c>
      <c r="Q102" s="23">
        <f>Test!G308</f>
        <v>0</v>
      </c>
      <c r="R102" s="24">
        <f t="shared" si="6"/>
        <v>0</v>
      </c>
      <c r="S102" s="18" t="e">
        <f t="shared" si="7"/>
        <v>#DIV/0!</v>
      </c>
      <c r="T102" s="18" t="e">
        <f t="shared" si="7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Reference!B309</f>
        <v>0</v>
      </c>
      <c r="E103" s="13">
        <f>Reference!C309</f>
        <v>0</v>
      </c>
      <c r="F103" s="13">
        <f>Reference!D309</f>
        <v>0</v>
      </c>
      <c r="G103" s="13">
        <f>Reference!E309</f>
        <v>0</v>
      </c>
      <c r="H103" s="13">
        <f>Reference!F309</f>
        <v>0</v>
      </c>
      <c r="I103" s="13">
        <f>Reference!G309</f>
        <v>0</v>
      </c>
      <c r="J103" s="14">
        <f t="shared" si="8"/>
        <v>0</v>
      </c>
      <c r="L103" s="12">
        <f>Test!B309</f>
        <v>0</v>
      </c>
      <c r="M103" s="13">
        <f>Test!C309</f>
        <v>0</v>
      </c>
      <c r="N103" s="13">
        <f>Test!D309</f>
        <v>0</v>
      </c>
      <c r="O103" s="13">
        <f>Test!E309</f>
        <v>0</v>
      </c>
      <c r="P103" s="13">
        <f>Test!F309</f>
        <v>0</v>
      </c>
      <c r="Q103" s="13">
        <f>Test!G309</f>
        <v>0</v>
      </c>
      <c r="R103" s="14">
        <f t="shared" si="6"/>
        <v>0</v>
      </c>
      <c r="S103" s="18" t="e">
        <f t="shared" si="7"/>
        <v>#DIV/0!</v>
      </c>
      <c r="T103" s="18" t="e">
        <f t="shared" si="7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 x14ac:dyDescent="0.2">
      <c r="A104" s="35"/>
      <c r="B104" s="35"/>
      <c r="C104" s="35">
        <v>27</v>
      </c>
      <c r="D104" s="17">
        <f>Reference!B310</f>
        <v>0</v>
      </c>
      <c r="E104" s="18">
        <f>Reference!C310</f>
        <v>0</v>
      </c>
      <c r="F104" s="18">
        <f>Reference!D310</f>
        <v>0</v>
      </c>
      <c r="G104" s="18">
        <f>Reference!E310</f>
        <v>0</v>
      </c>
      <c r="H104" s="18">
        <f>Reference!F310</f>
        <v>0</v>
      </c>
      <c r="I104" s="18">
        <f>Reference!G310</f>
        <v>0</v>
      </c>
      <c r="J104" s="19">
        <f t="shared" si="8"/>
        <v>0</v>
      </c>
      <c r="L104" s="17">
        <f>Test!B310</f>
        <v>0</v>
      </c>
      <c r="M104" s="18">
        <f>Test!C310</f>
        <v>0</v>
      </c>
      <c r="N104" s="18">
        <f>Test!D310</f>
        <v>0</v>
      </c>
      <c r="O104" s="18">
        <f>Test!E310</f>
        <v>0</v>
      </c>
      <c r="P104" s="18">
        <f>Test!F310</f>
        <v>0</v>
      </c>
      <c r="Q104" s="18">
        <f>Test!G310</f>
        <v>0</v>
      </c>
      <c r="R104" s="19">
        <f t="shared" si="6"/>
        <v>0</v>
      </c>
      <c r="S104" s="18" t="e">
        <f t="shared" si="7"/>
        <v>#DIV/0!</v>
      </c>
      <c r="T104" s="18" t="e">
        <f t="shared" si="7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Reference!B311</f>
        <v>0</v>
      </c>
      <c r="E105" s="18">
        <f>Reference!C311</f>
        <v>0</v>
      </c>
      <c r="F105" s="18">
        <f>Reference!D311</f>
        <v>0</v>
      </c>
      <c r="G105" s="18">
        <f>Reference!E311</f>
        <v>0</v>
      </c>
      <c r="H105" s="18">
        <f>Reference!F311</f>
        <v>0</v>
      </c>
      <c r="I105" s="18">
        <f>Reference!G311</f>
        <v>0</v>
      </c>
      <c r="J105" s="19">
        <f t="shared" si="8"/>
        <v>0</v>
      </c>
      <c r="L105" s="17">
        <f>Test!B311</f>
        <v>0</v>
      </c>
      <c r="M105" s="18">
        <f>Test!C311</f>
        <v>0</v>
      </c>
      <c r="N105" s="18">
        <f>Test!D311</f>
        <v>0</v>
      </c>
      <c r="O105" s="18">
        <f>Test!E311</f>
        <v>0</v>
      </c>
      <c r="P105" s="18">
        <f>Test!F311</f>
        <v>0</v>
      </c>
      <c r="Q105" s="18">
        <f>Test!G311</f>
        <v>0</v>
      </c>
      <c r="R105" s="19">
        <f t="shared" si="6"/>
        <v>0</v>
      </c>
      <c r="S105" s="18" t="e">
        <f t="shared" si="7"/>
        <v>#DIV/0!</v>
      </c>
      <c r="T105" s="18" t="e">
        <f t="shared" si="7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Reference!B312</f>
        <v>0</v>
      </c>
      <c r="E106" s="23">
        <f>Reference!C312</f>
        <v>0</v>
      </c>
      <c r="F106" s="23">
        <f>Reference!D312</f>
        <v>0</v>
      </c>
      <c r="G106" s="23">
        <f>Reference!E312</f>
        <v>0</v>
      </c>
      <c r="H106" s="23">
        <f>Reference!F312</f>
        <v>0</v>
      </c>
      <c r="I106" s="23">
        <f>Reference!G312</f>
        <v>0</v>
      </c>
      <c r="J106" s="24">
        <f t="shared" si="8"/>
        <v>0</v>
      </c>
      <c r="L106" s="22">
        <f>Test!B312</f>
        <v>0</v>
      </c>
      <c r="M106" s="23">
        <f>Test!C312</f>
        <v>0</v>
      </c>
      <c r="N106" s="23">
        <f>Test!D312</f>
        <v>0</v>
      </c>
      <c r="O106" s="23">
        <f>Test!E312</f>
        <v>0</v>
      </c>
      <c r="P106" s="23">
        <f>Test!F312</f>
        <v>0</v>
      </c>
      <c r="Q106" s="23">
        <f>Test!G312</f>
        <v>0</v>
      </c>
      <c r="R106" s="24">
        <f t="shared" si="6"/>
        <v>0</v>
      </c>
      <c r="S106" s="23" t="e">
        <f t="shared" si="7"/>
        <v>#DIV/0!</v>
      </c>
      <c r="T106" s="23" t="e">
        <f t="shared" si="7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/>
      <c r="J107" s="15"/>
      <c r="Q107" s="15"/>
      <c r="R107" s="15"/>
      <c r="S107" s="15"/>
      <c r="T107" s="15"/>
      <c r="V107" s="41"/>
      <c r="W107" s="46"/>
      <c r="X107" s="46"/>
      <c r="Y107" s="41"/>
      <c r="Z107" s="46"/>
      <c r="AA107" s="47"/>
    </row>
    <row r="108" spans="1:27" x14ac:dyDescent="0.2">
      <c r="B108" s="1" t="s">
        <v>70</v>
      </c>
      <c r="I108" s="15"/>
      <c r="J108" s="15"/>
      <c r="Q108" s="15"/>
      <c r="R108" s="15"/>
      <c r="S108" s="15"/>
      <c r="T108" s="15"/>
      <c r="V108" s="44"/>
      <c r="W108" s="48"/>
      <c r="X108" s="48"/>
      <c r="Y108" s="44"/>
      <c r="Z108" s="48"/>
      <c r="AA108" s="49"/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9">GEOMEAN(S27:S46)</f>
        <v>#DIV/0!</v>
      </c>
      <c r="T109" s="15" t="e">
        <f t="shared" si="9"/>
        <v>#DIV/0!</v>
      </c>
      <c r="V109" s="44" t="e">
        <f>AVERAGE(V27:V46)</f>
        <v>#VALUE!</v>
      </c>
      <c r="W109" s="48" t="e">
        <f t="shared" ref="W109:AA109" si="10">AVERAGE(W27:W46)</f>
        <v>#VALUE!</v>
      </c>
      <c r="X109" s="48" t="e">
        <f t="shared" si="10"/>
        <v>#VALUE!</v>
      </c>
      <c r="Y109" s="44" t="e">
        <f t="shared" si="10"/>
        <v>#VALUE!</v>
      </c>
      <c r="Z109" s="48" t="e">
        <f t="shared" si="10"/>
        <v>#VALUE!</v>
      </c>
      <c r="AA109" s="49" t="e">
        <f t="shared" si="10"/>
        <v>#VALUE!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1">GEOMEAN(S47:S62)</f>
        <v>#DIV/0!</v>
      </c>
      <c r="T110" s="15" t="e">
        <f t="shared" si="11"/>
        <v>#DIV/0!</v>
      </c>
      <c r="V110" s="44" t="e">
        <f>AVERAGE(V47:V62)</f>
        <v>#VALUE!</v>
      </c>
      <c r="W110" s="48" t="e">
        <f t="shared" ref="W110:AA110" si="12">AVERAGE(W47:W62)</f>
        <v>#VALUE!</v>
      </c>
      <c r="X110" s="48" t="e">
        <f t="shared" si="12"/>
        <v>#VALUE!</v>
      </c>
      <c r="Y110" s="44" t="e">
        <f t="shared" si="12"/>
        <v>#VALUE!</v>
      </c>
      <c r="Z110" s="48" t="e">
        <f t="shared" si="12"/>
        <v>#VALUE!</v>
      </c>
      <c r="AA110" s="49" t="e">
        <f t="shared" si="12"/>
        <v>#VALUE!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3">GEOMEAN(S63:S78)</f>
        <v>#DIV/0!</v>
      </c>
      <c r="T111" s="15" t="e">
        <f t="shared" si="13"/>
        <v>#DIV/0!</v>
      </c>
      <c r="V111" s="44" t="e">
        <f>AVERAGE(V63:V78)</f>
        <v>#VALUE!</v>
      </c>
      <c r="W111" s="48" t="e">
        <f t="shared" ref="W111:AA111" si="14">AVERAGE(W63:W78)</f>
        <v>#VALUE!</v>
      </c>
      <c r="X111" s="48" t="e">
        <f t="shared" si="14"/>
        <v>#VALUE!</v>
      </c>
      <c r="Y111" s="44" t="e">
        <f t="shared" si="14"/>
        <v>#VALUE!</v>
      </c>
      <c r="Z111" s="48" t="e">
        <f t="shared" si="14"/>
        <v>#VALUE!</v>
      </c>
      <c r="AA111" s="49" t="e">
        <f t="shared" si="14"/>
        <v>#VALUE!</v>
      </c>
    </row>
    <row r="112" spans="1:27" x14ac:dyDescent="0.2">
      <c r="B112" s="1" t="s">
        <v>7</v>
      </c>
      <c r="I112" s="15" t="e">
        <f>GEOMEAN(I79:I90)</f>
        <v>#NUM!</v>
      </c>
      <c r="J112" s="15">
        <f>GEOMEAN(J79:J90)</f>
        <v>2.3166749371633855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15">GEOMEAN(S79:S90)</f>
        <v>#NUM!</v>
      </c>
      <c r="T112" s="15" t="e">
        <f t="shared" si="15"/>
        <v>#DIV/0!</v>
      </c>
      <c r="V112" s="44" t="e">
        <f>AVERAGE(V79:V88)</f>
        <v>#VALUE!</v>
      </c>
      <c r="W112" s="48" t="e">
        <f t="shared" ref="W112:AA112" si="16">AVERAGE(W79:W88)</f>
        <v>#VALUE!</v>
      </c>
      <c r="X112" s="48" t="e">
        <f t="shared" si="16"/>
        <v>#VALUE!</v>
      </c>
      <c r="Y112" s="44" t="e">
        <f t="shared" si="16"/>
        <v>#VALUE!</v>
      </c>
      <c r="Z112" s="48" t="e">
        <f t="shared" si="16"/>
        <v>#VALUE!</v>
      </c>
      <c r="AA112" s="49" t="e">
        <f t="shared" si="16"/>
        <v>#VALUE!</v>
      </c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7">GEOMEAN(S91:S106)</f>
        <v>#DIV/0!</v>
      </c>
      <c r="T113" s="15" t="e">
        <f t="shared" si="17"/>
        <v>#DIV/0!</v>
      </c>
      <c r="V113" s="44" t="e">
        <f>AVERAGE(V91:V106)</f>
        <v>#VALUE!</v>
      </c>
      <c r="W113" s="48" t="e">
        <f t="shared" ref="W113:AA113" si="18">AVERAGE(W91:W106)</f>
        <v>#VALUE!</v>
      </c>
      <c r="X113" s="48" t="e">
        <f t="shared" si="18"/>
        <v>#VALUE!</v>
      </c>
      <c r="Y113" s="44" t="e">
        <f t="shared" si="18"/>
        <v>#VALUE!</v>
      </c>
      <c r="Z113" s="48" t="e">
        <f t="shared" si="18"/>
        <v>#VALUE!</v>
      </c>
      <c r="AA113" s="49" t="e">
        <f t="shared" si="18"/>
        <v>#VALUE!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 t="shared" ref="R114:T114" si="19">GEOMEAN(R3:R62,R79:R90)</f>
        <v>#NUM!</v>
      </c>
      <c r="S114" s="61" t="e">
        <f t="shared" si="19"/>
        <v>#DIV/0!</v>
      </c>
      <c r="T114" s="61" t="e">
        <f t="shared" si="19"/>
        <v>#DIV/0!</v>
      </c>
      <c r="U114" s="4"/>
      <c r="V114" s="45" t="e">
        <f>AVERAGE(V3:V62,V79:V90)</f>
        <v>#VALUE!</v>
      </c>
      <c r="W114" s="50" t="e">
        <f t="shared" ref="W114:AA114" si="20">AVERAGE(W3:W62,W79:W90)</f>
        <v>#VALUE!</v>
      </c>
      <c r="X114" s="50" t="e">
        <f t="shared" si="20"/>
        <v>#VALUE!</v>
      </c>
      <c r="Y114" s="45" t="e">
        <f t="shared" si="20"/>
        <v>#VALUE!</v>
      </c>
      <c r="Z114" s="50" t="e">
        <f t="shared" si="20"/>
        <v>#VALUE!</v>
      </c>
      <c r="AA114" s="51" t="e">
        <f t="shared" si="20"/>
        <v>#VALUE!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</row>
    <row r="121" spans="1:27" x14ac:dyDescent="0.2">
      <c r="B121" s="1" t="s">
        <v>70</v>
      </c>
    </row>
    <row r="122" spans="1:27" x14ac:dyDescent="0.2">
      <c r="B122" s="1" t="s">
        <v>1</v>
      </c>
      <c r="I122" s="15">
        <f>SUM(I$27:I$46)</f>
        <v>0</v>
      </c>
      <c r="J122" s="15">
        <f>SUM(J$27:J$46)</f>
        <v>79.395154166666671</v>
      </c>
      <c r="Q122" s="15">
        <f>SUM(Q$27:Q$46)</f>
        <v>0</v>
      </c>
      <c r="R122" s="15">
        <f>SUM(R$27:R$46)</f>
        <v>0</v>
      </c>
      <c r="S122" s="15" t="e">
        <f t="shared" ref="S122:S127" si="21">R122/I122</f>
        <v>#DIV/0!</v>
      </c>
      <c r="T122" s="15" t="e">
        <f t="shared" ref="T122:T127" si="22">Q122/H122</f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 t="shared" si="21"/>
        <v>#DIV/0!</v>
      </c>
      <c r="T123" s="15" t="e">
        <f t="shared" si="22"/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 t="shared" si="21"/>
        <v>#DIV/0!</v>
      </c>
      <c r="T124" s="15" t="e">
        <f t="shared" si="22"/>
        <v>#DIV/0!</v>
      </c>
    </row>
    <row r="125" spans="1:27" x14ac:dyDescent="0.2">
      <c r="B125" s="1" t="s">
        <v>7</v>
      </c>
      <c r="I125" s="15">
        <f>SUM(I$79:I$90)</f>
        <v>0</v>
      </c>
      <c r="J125" s="15">
        <f>SUM(J$79:J$90)</f>
        <v>27.904693333333338</v>
      </c>
      <c r="Q125" s="15">
        <f>SUM(Q$79:Q$90)</f>
        <v>0</v>
      </c>
      <c r="R125" s="15">
        <f>SUM(R$79:R$90)</f>
        <v>0</v>
      </c>
      <c r="S125" s="15" t="e">
        <f t="shared" si="21"/>
        <v>#DIV/0!</v>
      </c>
      <c r="T125" s="15" t="e">
        <f t="shared" si="22"/>
        <v>#DIV/0!</v>
      </c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 t="shared" si="21"/>
        <v>#DIV/0!</v>
      </c>
      <c r="T126" s="15" t="e">
        <f t="shared" si="22"/>
        <v>#DIV/0!</v>
      </c>
    </row>
    <row r="127" spans="1:27" x14ac:dyDescent="0.2">
      <c r="B127" s="1" t="s">
        <v>8</v>
      </c>
      <c r="I127" s="15">
        <f>SUM(I120:I126)</f>
        <v>0</v>
      </c>
      <c r="J127" s="15">
        <f>SUM(J120:J126)</f>
        <v>107.29984750000001</v>
      </c>
      <c r="Q127" s="15">
        <f>SUM(Q120:Q126)</f>
        <v>0</v>
      </c>
      <c r="R127" s="15">
        <f>SUM(R120:R126)</f>
        <v>0</v>
      </c>
      <c r="S127" s="15" t="e">
        <f t="shared" si="21"/>
        <v>#DIV/0!</v>
      </c>
      <c r="T127" s="15" t="e">
        <f t="shared" si="22"/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/>
      <c r="J130" s="15"/>
      <c r="Q130" s="15"/>
      <c r="R130" s="15"/>
      <c r="S130" s="15"/>
      <c r="T130" s="15"/>
    </row>
    <row r="131" spans="2:20" x14ac:dyDescent="0.2">
      <c r="B131" s="1" t="s">
        <v>70</v>
      </c>
      <c r="I131" s="15"/>
      <c r="J131" s="15"/>
      <c r="Q131" s="15"/>
      <c r="R131" s="15"/>
      <c r="S131" s="15"/>
      <c r="T131" s="15"/>
    </row>
    <row r="132" spans="2:20" x14ac:dyDescent="0.2">
      <c r="B132" s="1" t="s">
        <v>1</v>
      </c>
      <c r="I132" s="15">
        <f>MAX(I$27:I$46)</f>
        <v>0</v>
      </c>
      <c r="J132" s="15">
        <f>MAX(J$27:J$46)</f>
        <v>10.975261666666668</v>
      </c>
      <c r="Q132" s="15">
        <f>MAX(Q$27:Q$46)</f>
        <v>0</v>
      </c>
      <c r="R132" s="15">
        <f>MAX(R$27:R$46)</f>
        <v>0</v>
      </c>
      <c r="S132" s="15" t="e">
        <f t="shared" ref="S132:S137" si="23">R132/I132</f>
        <v>#DIV/0!</v>
      </c>
      <c r="T132" s="15" t="e">
        <f t="shared" ref="T132:T137" si="24">Q132/H132</f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 t="shared" si="23"/>
        <v>#DIV/0!</v>
      </c>
      <c r="T133" s="15" t="e">
        <f t="shared" si="24"/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 t="shared" si="23"/>
        <v>#DIV/0!</v>
      </c>
      <c r="T134" s="15" t="e">
        <f t="shared" si="24"/>
        <v>#DIV/0!</v>
      </c>
    </row>
    <row r="135" spans="2:20" x14ac:dyDescent="0.2">
      <c r="B135" s="1" t="s">
        <v>7</v>
      </c>
      <c r="I135" s="15">
        <f>MAX(I$79:I$90)</f>
        <v>0</v>
      </c>
      <c r="J135" s="15">
        <f>MAX(J$79:J$90)</f>
        <v>2.7278252777777778</v>
      </c>
      <c r="Q135" s="15">
        <f>MAX(Q$79:Q$90)</f>
        <v>0</v>
      </c>
      <c r="R135" s="15">
        <f>MAX(R$79:R$90)</f>
        <v>0</v>
      </c>
      <c r="S135" s="15" t="e">
        <f t="shared" si="23"/>
        <v>#DIV/0!</v>
      </c>
      <c r="T135" s="15" t="e">
        <f t="shared" si="24"/>
        <v>#DIV/0!</v>
      </c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 t="shared" si="23"/>
        <v>#DIV/0!</v>
      </c>
      <c r="T136" s="15" t="e">
        <f t="shared" si="24"/>
        <v>#DIV/0!</v>
      </c>
    </row>
    <row r="137" spans="2:20" x14ac:dyDescent="0.2">
      <c r="B137" s="1" t="s">
        <v>8</v>
      </c>
      <c r="I137" s="15">
        <f>MAX(I130:I136)</f>
        <v>0</v>
      </c>
      <c r="J137" s="15">
        <f>MAX(J130:J136)</f>
        <v>10.975261666666668</v>
      </c>
      <c r="Q137" s="15">
        <f>MAX(Q130:Q136)</f>
        <v>0</v>
      </c>
      <c r="R137" s="15">
        <f>MAX(R130:R136)</f>
        <v>0</v>
      </c>
      <c r="S137" s="15" t="e">
        <f t="shared" si="23"/>
        <v>#DIV/0!</v>
      </c>
      <c r="T137" s="15" t="e">
        <f t="shared" si="24"/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AA7">
    <cfRule type="cellIs" dxfId="475" priority="533" operator="greaterThan">
      <formula>0.03</formula>
    </cfRule>
    <cfRule type="cellIs" dxfId="474" priority="534" stopIfTrue="1" operator="lessThan">
      <formula>-0.03</formula>
    </cfRule>
  </conditionalFormatting>
  <conditionalFormatting sqref="Z11">
    <cfRule type="cellIs" dxfId="473" priority="529" operator="greaterThan">
      <formula>0.03</formula>
    </cfRule>
    <cfRule type="cellIs" dxfId="472" priority="530" stopIfTrue="1" operator="lessThan">
      <formula>-0.03</formula>
    </cfRule>
  </conditionalFormatting>
  <conditionalFormatting sqref="Y6:Z6">
    <cfRule type="cellIs" dxfId="471" priority="519" operator="greaterThan">
      <formula>0.03</formula>
    </cfRule>
    <cfRule type="cellIs" dxfId="470" priority="520" stopIfTrue="1" operator="lessThan">
      <formula>-0.03</formula>
    </cfRule>
  </conditionalFormatting>
  <conditionalFormatting sqref="Y14:Z14">
    <cfRule type="cellIs" dxfId="469" priority="515" operator="greaterThan">
      <formula>0.03</formula>
    </cfRule>
    <cfRule type="cellIs" dxfId="468" priority="516" stopIfTrue="1" operator="lessThan">
      <formula>-0.03</formula>
    </cfRule>
  </conditionalFormatting>
  <conditionalFormatting sqref="V114:AA114">
    <cfRule type="cellIs" dxfId="467" priority="471" operator="greaterThan">
      <formula>0.03</formula>
    </cfRule>
    <cfRule type="cellIs" dxfId="466" priority="472" stopIfTrue="1" operator="lessThan">
      <formula>-0.03</formula>
    </cfRule>
  </conditionalFormatting>
  <conditionalFormatting sqref="Y23">
    <cfRule type="cellIs" dxfId="465" priority="433" operator="greaterThan">
      <formula>0.03</formula>
    </cfRule>
    <cfRule type="cellIs" dxfId="464" priority="434" stopIfTrue="1" operator="lessThan">
      <formula>-0.03</formula>
    </cfRule>
  </conditionalFormatting>
  <conditionalFormatting sqref="Z19">
    <cfRule type="cellIs" dxfId="463" priority="437" operator="greaterThan">
      <formula>0.03</formula>
    </cfRule>
    <cfRule type="cellIs" dxfId="462" priority="438" stopIfTrue="1" operator="lessThan">
      <formula>-0.03</formula>
    </cfRule>
  </conditionalFormatting>
  <conditionalFormatting sqref="AA19">
    <cfRule type="cellIs" dxfId="461" priority="435" operator="greaterThan">
      <formula>0.03</formula>
    </cfRule>
    <cfRule type="cellIs" dxfId="460" priority="436" stopIfTrue="1" operator="lessThan">
      <formula>-0.03</formula>
    </cfRule>
  </conditionalFormatting>
  <conditionalFormatting sqref="Z35">
    <cfRule type="cellIs" dxfId="459" priority="343" operator="greaterThan">
      <formula>0.03</formula>
    </cfRule>
    <cfRule type="cellIs" dxfId="458" priority="344" stopIfTrue="1" operator="lessThan">
      <formula>-0.03</formula>
    </cfRule>
  </conditionalFormatting>
  <conditionalFormatting sqref="Y31">
    <cfRule type="cellIs" dxfId="457" priority="351" operator="greaterThan">
      <formula>0.03</formula>
    </cfRule>
    <cfRule type="cellIs" dxfId="456" priority="352" stopIfTrue="1" operator="lessThan">
      <formula>-0.03</formula>
    </cfRule>
  </conditionalFormatting>
  <conditionalFormatting sqref="AA27">
    <cfRule type="cellIs" dxfId="455" priority="367" operator="greaterThan">
      <formula>0.03</formula>
    </cfRule>
    <cfRule type="cellIs" dxfId="454" priority="368" stopIfTrue="1" operator="lessThan">
      <formula>-0.03</formula>
    </cfRule>
  </conditionalFormatting>
  <conditionalFormatting sqref="Y30:Z30">
    <cfRule type="cellIs" dxfId="453" priority="365" operator="greaterThan">
      <formula>0.03</formula>
    </cfRule>
    <cfRule type="cellIs" dxfId="452" priority="366" stopIfTrue="1" operator="lessThan">
      <formula>-0.03</formula>
    </cfRule>
  </conditionalFormatting>
  <conditionalFormatting sqref="AA35">
    <cfRule type="cellIs" dxfId="451" priority="341" operator="greaterThan">
      <formula>0.03</formula>
    </cfRule>
    <cfRule type="cellIs" dxfId="450" priority="342" stopIfTrue="1" operator="lessThan">
      <formula>-0.03</formula>
    </cfRule>
  </conditionalFormatting>
  <conditionalFormatting sqref="Y34:Z34">
    <cfRule type="cellIs" dxfId="449" priority="339" operator="greaterThan">
      <formula>0.03</formula>
    </cfRule>
    <cfRule type="cellIs" dxfId="448" priority="340" stopIfTrue="1" operator="lessThan">
      <formula>-0.03</formula>
    </cfRule>
  </conditionalFormatting>
  <conditionalFormatting sqref="Y38:Z38">
    <cfRule type="cellIs" dxfId="447" priority="337" operator="greaterThan">
      <formula>0.03</formula>
    </cfRule>
    <cfRule type="cellIs" dxfId="446" priority="338" stopIfTrue="1" operator="lessThan">
      <formula>-0.03</formula>
    </cfRule>
  </conditionalFormatting>
  <conditionalFormatting sqref="V31:X38">
    <cfRule type="cellIs" dxfId="445" priority="353" operator="greaterThan">
      <formula>0.03</formula>
    </cfRule>
    <cfRule type="cellIs" dxfId="444" priority="354" stopIfTrue="1" operator="lessThan">
      <formula>-0.03</formula>
    </cfRule>
  </conditionalFormatting>
  <conditionalFormatting sqref="Z31">
    <cfRule type="cellIs" dxfId="443" priority="349" operator="greaterThan">
      <formula>0.03</formula>
    </cfRule>
    <cfRule type="cellIs" dxfId="442" priority="350" stopIfTrue="1" operator="lessThan">
      <formula>-0.03</formula>
    </cfRule>
  </conditionalFormatting>
  <conditionalFormatting sqref="AA31">
    <cfRule type="cellIs" dxfId="441" priority="347" operator="greaterThan">
      <formula>0.03</formula>
    </cfRule>
    <cfRule type="cellIs" dxfId="440" priority="348" stopIfTrue="1" operator="lessThan">
      <formula>-0.03</formula>
    </cfRule>
  </conditionalFormatting>
  <conditionalFormatting sqref="Y35">
    <cfRule type="cellIs" dxfId="439" priority="345" operator="greaterThan">
      <formula>0.03</formula>
    </cfRule>
    <cfRule type="cellIs" dxfId="438" priority="346" stopIfTrue="1" operator="lessThan">
      <formula>-0.03</formula>
    </cfRule>
  </conditionalFormatting>
  <conditionalFormatting sqref="V39:X46">
    <cfRule type="cellIs" dxfId="437" priority="315" operator="greaterThan">
      <formula>0.03</formula>
    </cfRule>
    <cfRule type="cellIs" dxfId="436" priority="316" stopIfTrue="1" operator="lessThan">
      <formula>-0.03</formula>
    </cfRule>
  </conditionalFormatting>
  <conditionalFormatting sqref="Y39">
    <cfRule type="cellIs" dxfId="435" priority="313" operator="greaterThan">
      <formula>0.03</formula>
    </cfRule>
    <cfRule type="cellIs" dxfId="434" priority="314" stopIfTrue="1" operator="lessThan">
      <formula>-0.03</formula>
    </cfRule>
  </conditionalFormatting>
  <conditionalFormatting sqref="Z39">
    <cfRule type="cellIs" dxfId="433" priority="311" operator="greaterThan">
      <formula>0.03</formula>
    </cfRule>
    <cfRule type="cellIs" dxfId="432" priority="312" stopIfTrue="1" operator="lessThan">
      <formula>-0.03</formula>
    </cfRule>
  </conditionalFormatting>
  <conditionalFormatting sqref="AA39">
    <cfRule type="cellIs" dxfId="431" priority="309" operator="greaterThan">
      <formula>0.03</formula>
    </cfRule>
    <cfRule type="cellIs" dxfId="430" priority="310" stopIfTrue="1" operator="lessThan">
      <formula>-0.03</formula>
    </cfRule>
  </conditionalFormatting>
  <conditionalFormatting sqref="Y43">
    <cfRule type="cellIs" dxfId="429" priority="307" operator="greaterThan">
      <formula>0.03</formula>
    </cfRule>
    <cfRule type="cellIs" dxfId="428" priority="308" stopIfTrue="1" operator="lessThan">
      <formula>-0.03</formula>
    </cfRule>
  </conditionalFormatting>
  <conditionalFormatting sqref="Z43">
    <cfRule type="cellIs" dxfId="427" priority="305" operator="greaterThan">
      <formula>0.03</formula>
    </cfRule>
    <cfRule type="cellIs" dxfId="426" priority="306" stopIfTrue="1" operator="lessThan">
      <formula>-0.03</formula>
    </cfRule>
  </conditionalFormatting>
  <conditionalFormatting sqref="AA43">
    <cfRule type="cellIs" dxfId="425" priority="303" operator="greaterThan">
      <formula>0.03</formula>
    </cfRule>
    <cfRule type="cellIs" dxfId="424" priority="304" stopIfTrue="1" operator="lessThan">
      <formula>-0.03</formula>
    </cfRule>
  </conditionalFormatting>
  <conditionalFormatting sqref="Y42:Z42">
    <cfRule type="cellIs" dxfId="423" priority="301" operator="greaterThan">
      <formula>0.03</formula>
    </cfRule>
    <cfRule type="cellIs" dxfId="422" priority="302" stopIfTrue="1" operator="lessThan">
      <formula>-0.03</formula>
    </cfRule>
  </conditionalFormatting>
  <conditionalFormatting sqref="Y46:Z46">
    <cfRule type="cellIs" dxfId="421" priority="299" operator="greaterThan">
      <formula>0.03</formula>
    </cfRule>
    <cfRule type="cellIs" dxfId="420" priority="300" stopIfTrue="1" operator="lessThan">
      <formula>-0.03</formula>
    </cfRule>
  </conditionalFormatting>
  <conditionalFormatting sqref="V47:X62">
    <cfRule type="cellIs" dxfId="419" priority="277" operator="greaterThan">
      <formula>0.03</formula>
    </cfRule>
    <cfRule type="cellIs" dxfId="418" priority="278" stopIfTrue="1" operator="lessThan">
      <formula>-0.03</formula>
    </cfRule>
  </conditionalFormatting>
  <conditionalFormatting sqref="Y47">
    <cfRule type="cellIs" dxfId="417" priority="275" operator="greaterThan">
      <formula>0.03</formula>
    </cfRule>
    <cfRule type="cellIs" dxfId="416" priority="276" stopIfTrue="1" operator="lessThan">
      <formula>-0.03</formula>
    </cfRule>
  </conditionalFormatting>
  <conditionalFormatting sqref="Z47">
    <cfRule type="cellIs" dxfId="415" priority="273" operator="greaterThan">
      <formula>0.03</formula>
    </cfRule>
    <cfRule type="cellIs" dxfId="414" priority="274" stopIfTrue="1" operator="lessThan">
      <formula>-0.03</formula>
    </cfRule>
  </conditionalFormatting>
  <conditionalFormatting sqref="AA47">
    <cfRule type="cellIs" dxfId="413" priority="271" operator="greaterThan">
      <formula>0.03</formula>
    </cfRule>
    <cfRule type="cellIs" dxfId="412" priority="272" stopIfTrue="1" operator="lessThan">
      <formula>-0.03</formula>
    </cfRule>
  </conditionalFormatting>
  <conditionalFormatting sqref="Y51">
    <cfRule type="cellIs" dxfId="411" priority="269" operator="greaterThan">
      <formula>0.03</formula>
    </cfRule>
    <cfRule type="cellIs" dxfId="410" priority="270" stopIfTrue="1" operator="lessThan">
      <formula>-0.03</formula>
    </cfRule>
  </conditionalFormatting>
  <conditionalFormatting sqref="Z51">
    <cfRule type="cellIs" dxfId="409" priority="267" operator="greaterThan">
      <formula>0.03</formula>
    </cfRule>
    <cfRule type="cellIs" dxfId="408" priority="268" stopIfTrue="1" operator="lessThan">
      <formula>-0.03</formula>
    </cfRule>
  </conditionalFormatting>
  <conditionalFormatting sqref="AA51">
    <cfRule type="cellIs" dxfId="407" priority="265" operator="greaterThan">
      <formula>0.03</formula>
    </cfRule>
    <cfRule type="cellIs" dxfId="406" priority="266" stopIfTrue="1" operator="lessThan">
      <formula>-0.03</formula>
    </cfRule>
  </conditionalFormatting>
  <conditionalFormatting sqref="Y55">
    <cfRule type="cellIs" dxfId="405" priority="263" operator="greaterThan">
      <formula>0.03</formula>
    </cfRule>
    <cfRule type="cellIs" dxfId="404" priority="264" stopIfTrue="1" operator="lessThan">
      <formula>-0.03</formula>
    </cfRule>
  </conditionalFormatting>
  <conditionalFormatting sqref="Z55">
    <cfRule type="cellIs" dxfId="403" priority="261" operator="greaterThan">
      <formula>0.03</formula>
    </cfRule>
    <cfRule type="cellIs" dxfId="402" priority="262" stopIfTrue="1" operator="lessThan">
      <formula>-0.03</formula>
    </cfRule>
  </conditionalFormatting>
  <conditionalFormatting sqref="AA55">
    <cfRule type="cellIs" dxfId="401" priority="259" operator="greaterThan">
      <formula>0.03</formula>
    </cfRule>
    <cfRule type="cellIs" dxfId="400" priority="260" stopIfTrue="1" operator="lessThan">
      <formula>-0.03</formula>
    </cfRule>
  </conditionalFormatting>
  <conditionalFormatting sqref="Y59">
    <cfRule type="cellIs" dxfId="399" priority="257" operator="greaterThan">
      <formula>0.03</formula>
    </cfRule>
    <cfRule type="cellIs" dxfId="398" priority="258" stopIfTrue="1" operator="lessThan">
      <formula>-0.03</formula>
    </cfRule>
  </conditionalFormatting>
  <conditionalFormatting sqref="Z59">
    <cfRule type="cellIs" dxfId="397" priority="255" operator="greaterThan">
      <formula>0.03</formula>
    </cfRule>
    <cfRule type="cellIs" dxfId="396" priority="256" stopIfTrue="1" operator="lessThan">
      <formula>-0.03</formula>
    </cfRule>
  </conditionalFormatting>
  <conditionalFormatting sqref="AA59">
    <cfRule type="cellIs" dxfId="395" priority="253" operator="greaterThan">
      <formula>0.03</formula>
    </cfRule>
    <cfRule type="cellIs" dxfId="394" priority="254" stopIfTrue="1" operator="lessThan">
      <formula>-0.03</formula>
    </cfRule>
  </conditionalFormatting>
  <conditionalFormatting sqref="Y50:Z50">
    <cfRule type="cellIs" dxfId="393" priority="251" operator="greaterThan">
      <formula>0.03</formula>
    </cfRule>
    <cfRule type="cellIs" dxfId="392" priority="252" stopIfTrue="1" operator="lessThan">
      <formula>-0.03</formula>
    </cfRule>
  </conditionalFormatting>
  <conditionalFormatting sqref="Y54:Z54">
    <cfRule type="cellIs" dxfId="391" priority="249" operator="greaterThan">
      <formula>0.03</formula>
    </cfRule>
    <cfRule type="cellIs" dxfId="390" priority="250" stopIfTrue="1" operator="lessThan">
      <formula>-0.03</formula>
    </cfRule>
  </conditionalFormatting>
  <conditionalFormatting sqref="Y58:Z58">
    <cfRule type="cellIs" dxfId="389" priority="247" operator="greaterThan">
      <formula>0.03</formula>
    </cfRule>
    <cfRule type="cellIs" dxfId="388" priority="248" stopIfTrue="1" operator="lessThan">
      <formula>-0.03</formula>
    </cfRule>
  </conditionalFormatting>
  <conditionalFormatting sqref="Y62:Z62">
    <cfRule type="cellIs" dxfId="387" priority="245" operator="greaterThan">
      <formula>0.03</formula>
    </cfRule>
    <cfRule type="cellIs" dxfId="386" priority="246" stopIfTrue="1" operator="lessThan">
      <formula>-0.03</formula>
    </cfRule>
  </conditionalFormatting>
  <conditionalFormatting sqref="V63:X78">
    <cfRule type="cellIs" dxfId="385" priority="203" operator="greaterThan">
      <formula>0.03</formula>
    </cfRule>
    <cfRule type="cellIs" dxfId="384" priority="204" stopIfTrue="1" operator="lessThan">
      <formula>-0.03</formula>
    </cfRule>
  </conditionalFormatting>
  <conditionalFormatting sqref="Y63">
    <cfRule type="cellIs" dxfId="383" priority="201" operator="greaterThan">
      <formula>0.03</formula>
    </cfRule>
    <cfRule type="cellIs" dxfId="382" priority="202" stopIfTrue="1" operator="lessThan">
      <formula>-0.03</formula>
    </cfRule>
  </conditionalFormatting>
  <conditionalFormatting sqref="Z63">
    <cfRule type="cellIs" dxfId="381" priority="199" operator="greaterThan">
      <formula>0.03</formula>
    </cfRule>
    <cfRule type="cellIs" dxfId="380" priority="200" stopIfTrue="1" operator="lessThan">
      <formula>-0.03</formula>
    </cfRule>
  </conditionalFormatting>
  <conditionalFormatting sqref="AA63">
    <cfRule type="cellIs" dxfId="379" priority="197" operator="greaterThan">
      <formula>0.03</formula>
    </cfRule>
    <cfRule type="cellIs" dxfId="378" priority="198" stopIfTrue="1" operator="lessThan">
      <formula>-0.03</formula>
    </cfRule>
  </conditionalFormatting>
  <conditionalFormatting sqref="Z67">
    <cfRule type="cellIs" dxfId="377" priority="193" operator="greaterThan">
      <formula>0.03</formula>
    </cfRule>
    <cfRule type="cellIs" dxfId="376" priority="194" stopIfTrue="1" operator="lessThan">
      <formula>-0.03</formula>
    </cfRule>
  </conditionalFormatting>
  <conditionalFormatting sqref="AA67">
    <cfRule type="cellIs" dxfId="375" priority="191" operator="greaterThan">
      <formula>0.03</formula>
    </cfRule>
    <cfRule type="cellIs" dxfId="374" priority="192" stopIfTrue="1" operator="lessThan">
      <formula>-0.03</formula>
    </cfRule>
  </conditionalFormatting>
  <conditionalFormatting sqref="Y71">
    <cfRule type="cellIs" dxfId="373" priority="189" operator="greaterThan">
      <formula>0.03</formula>
    </cfRule>
    <cfRule type="cellIs" dxfId="372" priority="190" stopIfTrue="1" operator="lessThan">
      <formula>-0.03</formula>
    </cfRule>
  </conditionalFormatting>
  <conditionalFormatting sqref="Z71">
    <cfRule type="cellIs" dxfId="371" priority="187" operator="greaterThan">
      <formula>0.03</formula>
    </cfRule>
    <cfRule type="cellIs" dxfId="370" priority="188" stopIfTrue="1" operator="lessThan">
      <formula>-0.03</formula>
    </cfRule>
  </conditionalFormatting>
  <conditionalFormatting sqref="Y67">
    <cfRule type="cellIs" dxfId="369" priority="195" operator="greaterThan">
      <formula>0.03</formula>
    </cfRule>
    <cfRule type="cellIs" dxfId="368" priority="196" stopIfTrue="1" operator="lessThan">
      <formula>-0.03</formula>
    </cfRule>
  </conditionalFormatting>
  <conditionalFormatting sqref="Y75">
    <cfRule type="cellIs" dxfId="367" priority="183" operator="greaterThan">
      <formula>0.03</formula>
    </cfRule>
    <cfRule type="cellIs" dxfId="366" priority="184" stopIfTrue="1" operator="lessThan">
      <formula>-0.03</formula>
    </cfRule>
  </conditionalFormatting>
  <conditionalFormatting sqref="Z75">
    <cfRule type="cellIs" dxfId="365" priority="181" operator="greaterThan">
      <formula>0.03</formula>
    </cfRule>
    <cfRule type="cellIs" dxfId="364" priority="182" stopIfTrue="1" operator="lessThan">
      <formula>-0.03</formula>
    </cfRule>
  </conditionalFormatting>
  <conditionalFormatting sqref="AA75">
    <cfRule type="cellIs" dxfId="363" priority="179" operator="greaterThan">
      <formula>0.03</formula>
    </cfRule>
    <cfRule type="cellIs" dxfId="362" priority="180" stopIfTrue="1" operator="lessThan">
      <formula>-0.03</formula>
    </cfRule>
  </conditionalFormatting>
  <conditionalFormatting sqref="Y66:Z66">
    <cfRule type="cellIs" dxfId="361" priority="177" operator="greaterThan">
      <formula>0.03</formula>
    </cfRule>
    <cfRule type="cellIs" dxfId="360" priority="178" stopIfTrue="1" operator="lessThan">
      <formula>-0.03</formula>
    </cfRule>
  </conditionalFormatting>
  <conditionalFormatting sqref="AA71">
    <cfRule type="cellIs" dxfId="359" priority="185" operator="greaterThan">
      <formula>0.03</formula>
    </cfRule>
    <cfRule type="cellIs" dxfId="358" priority="186" stopIfTrue="1" operator="lessThan">
      <formula>-0.03</formula>
    </cfRule>
  </conditionalFormatting>
  <conditionalFormatting sqref="Y70:Z70">
    <cfRule type="cellIs" dxfId="357" priority="175" operator="greaterThan">
      <formula>0.03</formula>
    </cfRule>
    <cfRule type="cellIs" dxfId="356" priority="176" stopIfTrue="1" operator="lessThan">
      <formula>-0.03</formula>
    </cfRule>
  </conditionalFormatting>
  <conditionalFormatting sqref="Y74:Z74">
    <cfRule type="cellIs" dxfId="355" priority="173" operator="greaterThan">
      <formula>0.03</formula>
    </cfRule>
    <cfRule type="cellIs" dxfId="354" priority="174" stopIfTrue="1" operator="lessThan">
      <formula>-0.03</formula>
    </cfRule>
  </conditionalFormatting>
  <conditionalFormatting sqref="Y78:Z78">
    <cfRule type="cellIs" dxfId="353" priority="171" operator="greaterThan">
      <formula>0.03</formula>
    </cfRule>
    <cfRule type="cellIs" dxfId="352" priority="172" stopIfTrue="1" operator="lessThan">
      <formula>-0.03</formula>
    </cfRule>
  </conditionalFormatting>
  <conditionalFormatting sqref="V3:X14">
    <cfRule type="cellIs" dxfId="351" priority="545" operator="greaterThan">
      <formula>0.03</formula>
    </cfRule>
    <cfRule type="cellIs" dxfId="350" priority="546" stopIfTrue="1" operator="lessThan">
      <formula>-0.03</formula>
    </cfRule>
  </conditionalFormatting>
  <conditionalFormatting sqref="Y3">
    <cfRule type="cellIs" dxfId="349" priority="543" operator="greaterThan">
      <formula>0.03</formula>
    </cfRule>
    <cfRule type="cellIs" dxfId="348" priority="544" stopIfTrue="1" operator="lessThan">
      <formula>-0.03</formula>
    </cfRule>
  </conditionalFormatting>
  <conditionalFormatting sqref="Z3">
    <cfRule type="cellIs" dxfId="347" priority="541" operator="greaterThan">
      <formula>0.03</formula>
    </cfRule>
    <cfRule type="cellIs" dxfId="346" priority="542" stopIfTrue="1" operator="lessThan">
      <formula>-0.03</formula>
    </cfRule>
  </conditionalFormatting>
  <conditionalFormatting sqref="AA3">
    <cfRule type="cellIs" dxfId="345" priority="539" operator="greaterThan">
      <formula>0.03</formula>
    </cfRule>
    <cfRule type="cellIs" dxfId="344" priority="540" stopIfTrue="1" operator="lessThan">
      <formula>-0.03</formula>
    </cfRule>
  </conditionalFormatting>
  <conditionalFormatting sqref="Y7">
    <cfRule type="cellIs" dxfId="343" priority="537" operator="greaterThan">
      <formula>0.03</formula>
    </cfRule>
    <cfRule type="cellIs" dxfId="342" priority="538" stopIfTrue="1" operator="lessThan">
      <formula>-0.03</formula>
    </cfRule>
  </conditionalFormatting>
  <conditionalFormatting sqref="Z7">
    <cfRule type="cellIs" dxfId="341" priority="535" operator="greaterThan">
      <formula>0.03</formula>
    </cfRule>
    <cfRule type="cellIs" dxfId="340" priority="536" stopIfTrue="1" operator="lessThan">
      <formula>-0.03</formula>
    </cfRule>
  </conditionalFormatting>
  <conditionalFormatting sqref="Y11">
    <cfRule type="cellIs" dxfId="339" priority="531" operator="greaterThan">
      <formula>0.03</formula>
    </cfRule>
    <cfRule type="cellIs" dxfId="338" priority="532" stopIfTrue="1" operator="lessThan">
      <formula>-0.03</formula>
    </cfRule>
  </conditionalFormatting>
  <conditionalFormatting sqref="AA11">
    <cfRule type="cellIs" dxfId="337" priority="527" operator="greaterThan">
      <formula>0.03</formula>
    </cfRule>
    <cfRule type="cellIs" dxfId="336" priority="528" stopIfTrue="1" operator="lessThan">
      <formula>-0.03</formula>
    </cfRule>
  </conditionalFormatting>
  <conditionalFormatting sqref="Y10:Z10">
    <cfRule type="cellIs" dxfId="335" priority="517" operator="greaterThan">
      <formula>0.03</formula>
    </cfRule>
    <cfRule type="cellIs" dxfId="334" priority="518" stopIfTrue="1" operator="lessThan">
      <formula>-0.03</formula>
    </cfRule>
  </conditionalFormatting>
  <conditionalFormatting sqref="V111:AA112">
    <cfRule type="cellIs" dxfId="333" priority="469" operator="greaterThan">
      <formula>0.03</formula>
    </cfRule>
    <cfRule type="cellIs" dxfId="332" priority="470" stopIfTrue="1" operator="lessThan">
      <formula>-0.03</formula>
    </cfRule>
  </conditionalFormatting>
  <conditionalFormatting sqref="V107:AA107 V109:AA109">
    <cfRule type="cellIs" dxfId="331" priority="467" operator="greaterThan">
      <formula>0.03</formula>
    </cfRule>
    <cfRule type="cellIs" dxfId="330" priority="468" stopIfTrue="1" operator="lessThan">
      <formula>-0.03</formula>
    </cfRule>
  </conditionalFormatting>
  <conditionalFormatting sqref="Y19">
    <cfRule type="cellIs" dxfId="329" priority="439" operator="greaterThan">
      <formula>0.03</formula>
    </cfRule>
    <cfRule type="cellIs" dxfId="328" priority="440" stopIfTrue="1" operator="lessThan">
      <formula>-0.03</formula>
    </cfRule>
  </conditionalFormatting>
  <conditionalFormatting sqref="V108:AA108">
    <cfRule type="cellIs" dxfId="327" priority="461" operator="greaterThan">
      <formula>0.03</formula>
    </cfRule>
    <cfRule type="cellIs" dxfId="326" priority="462" stopIfTrue="1" operator="lessThan">
      <formula>-0.03</formula>
    </cfRule>
  </conditionalFormatting>
  <conditionalFormatting sqref="V15:X26">
    <cfRule type="cellIs" dxfId="325" priority="447" operator="greaterThan">
      <formula>0.03</formula>
    </cfRule>
    <cfRule type="cellIs" dxfId="324" priority="448" stopIfTrue="1" operator="lessThan">
      <formula>-0.03</formula>
    </cfRule>
  </conditionalFormatting>
  <conditionalFormatting sqref="Y15">
    <cfRule type="cellIs" dxfId="323" priority="445" operator="greaterThan">
      <formula>0.03</formula>
    </cfRule>
    <cfRule type="cellIs" dxfId="322" priority="446" stopIfTrue="1" operator="lessThan">
      <formula>-0.03</formula>
    </cfRule>
  </conditionalFormatting>
  <conditionalFormatting sqref="V110:AA110">
    <cfRule type="cellIs" dxfId="321" priority="465" operator="greaterThan">
      <formula>0.03</formula>
    </cfRule>
    <cfRule type="cellIs" dxfId="320" priority="466" stopIfTrue="1" operator="lessThan">
      <formula>-0.03</formula>
    </cfRule>
  </conditionalFormatting>
  <conditionalFormatting sqref="V113:AA113">
    <cfRule type="cellIs" dxfId="319" priority="463" operator="greaterThan">
      <formula>0.03</formula>
    </cfRule>
    <cfRule type="cellIs" dxfId="318" priority="464" stopIfTrue="1" operator="lessThan">
      <formula>-0.03</formula>
    </cfRule>
  </conditionalFormatting>
  <conditionalFormatting sqref="Z15">
    <cfRule type="cellIs" dxfId="317" priority="443" operator="greaterThan">
      <formula>0.03</formula>
    </cfRule>
    <cfRule type="cellIs" dxfId="316" priority="444" stopIfTrue="1" operator="lessThan">
      <formula>-0.03</formula>
    </cfRule>
  </conditionalFormatting>
  <conditionalFormatting sqref="AA15">
    <cfRule type="cellIs" dxfId="315" priority="441" operator="greaterThan">
      <formula>0.03</formula>
    </cfRule>
    <cfRule type="cellIs" dxfId="314" priority="442" stopIfTrue="1" operator="lessThan">
      <formula>-0.03</formula>
    </cfRule>
  </conditionalFormatting>
  <conditionalFormatting sqref="Z23">
    <cfRule type="cellIs" dxfId="313" priority="431" operator="greaterThan">
      <formula>0.03</formula>
    </cfRule>
    <cfRule type="cellIs" dxfId="312" priority="432" stopIfTrue="1" operator="lessThan">
      <formula>-0.03</formula>
    </cfRule>
  </conditionalFormatting>
  <conditionalFormatting sqref="AA23">
    <cfRule type="cellIs" dxfId="311" priority="429" operator="greaterThan">
      <formula>0.03</formula>
    </cfRule>
    <cfRule type="cellIs" dxfId="310" priority="430" stopIfTrue="1" operator="lessThan">
      <formula>-0.03</formula>
    </cfRule>
  </conditionalFormatting>
  <conditionalFormatting sqref="Y18:Z18">
    <cfRule type="cellIs" dxfId="309" priority="421" operator="greaterThan">
      <formula>0.03</formula>
    </cfRule>
    <cfRule type="cellIs" dxfId="308" priority="422" stopIfTrue="1" operator="lessThan">
      <formula>-0.03</formula>
    </cfRule>
  </conditionalFormatting>
  <conditionalFormatting sqref="Y22:Z22">
    <cfRule type="cellIs" dxfId="307" priority="419" operator="greaterThan">
      <formula>0.03</formula>
    </cfRule>
    <cfRule type="cellIs" dxfId="306" priority="420" stopIfTrue="1" operator="lessThan">
      <formula>-0.03</formula>
    </cfRule>
  </conditionalFormatting>
  <conditionalFormatting sqref="Y26:Z26">
    <cfRule type="cellIs" dxfId="305" priority="417" operator="greaterThan">
      <formula>0.03</formula>
    </cfRule>
    <cfRule type="cellIs" dxfId="304" priority="418" stopIfTrue="1" operator="lessThan">
      <formula>-0.03</formula>
    </cfRule>
  </conditionalFormatting>
  <conditionalFormatting sqref="V27:X30">
    <cfRule type="cellIs" dxfId="303" priority="373" operator="greaterThan">
      <formula>0.03</formula>
    </cfRule>
    <cfRule type="cellIs" dxfId="302" priority="374" stopIfTrue="1" operator="lessThan">
      <formula>-0.03</formula>
    </cfRule>
  </conditionalFormatting>
  <conditionalFormatting sqref="Y27">
    <cfRule type="cellIs" dxfId="301" priority="371" operator="greaterThan">
      <formula>0.03</formula>
    </cfRule>
    <cfRule type="cellIs" dxfId="300" priority="372" stopIfTrue="1" operator="lessThan">
      <formula>-0.03</formula>
    </cfRule>
  </conditionalFormatting>
  <conditionalFormatting sqref="Z27">
    <cfRule type="cellIs" dxfId="299" priority="369" operator="greaterThan">
      <formula>0.03</formula>
    </cfRule>
    <cfRule type="cellIs" dxfId="298" priority="370" stopIfTrue="1" operator="lessThan">
      <formula>-0.03</formula>
    </cfRule>
  </conditionalFormatting>
  <conditionalFormatting sqref="Y102:Z102">
    <cfRule type="cellIs" dxfId="297" priority="99" operator="greaterThan">
      <formula>0.03</formula>
    </cfRule>
    <cfRule type="cellIs" dxfId="296" priority="100" stopIfTrue="1" operator="lessThan">
      <formula>-0.03</formula>
    </cfRule>
  </conditionalFormatting>
  <conditionalFormatting sqref="Y98:Z98">
    <cfRule type="cellIs" dxfId="295" priority="101" operator="greaterThan">
      <formula>0.03</formula>
    </cfRule>
    <cfRule type="cellIs" dxfId="294" priority="102" stopIfTrue="1" operator="lessThan">
      <formula>-0.03</formula>
    </cfRule>
  </conditionalFormatting>
  <conditionalFormatting sqref="Y106:Z106">
    <cfRule type="cellIs" dxfId="293" priority="97" operator="greaterThan">
      <formula>0.03</formula>
    </cfRule>
    <cfRule type="cellIs" dxfId="292" priority="98" stopIfTrue="1" operator="lessThan">
      <formula>-0.03</formula>
    </cfRule>
  </conditionalFormatting>
  <conditionalFormatting sqref="Z83">
    <cfRule type="cellIs" dxfId="291" priority="45" operator="greaterThan">
      <formula>0.03</formula>
    </cfRule>
    <cfRule type="cellIs" dxfId="290" priority="46" stopIfTrue="1" operator="lessThan">
      <formula>-0.03</formula>
    </cfRule>
  </conditionalFormatting>
  <conditionalFormatting sqref="Z87">
    <cfRule type="cellIs" dxfId="289" priority="39" operator="greaterThan">
      <formula>0.03</formula>
    </cfRule>
    <cfRule type="cellIs" dxfId="288" priority="40" stopIfTrue="1" operator="lessThan">
      <formula>-0.03</formula>
    </cfRule>
  </conditionalFormatting>
  <conditionalFormatting sqref="Y83">
    <cfRule type="cellIs" dxfId="287" priority="47" operator="greaterThan">
      <formula>0.03</formula>
    </cfRule>
    <cfRule type="cellIs" dxfId="286" priority="48" stopIfTrue="1" operator="lessThan">
      <formula>-0.03</formula>
    </cfRule>
  </conditionalFormatting>
  <conditionalFormatting sqref="V79:X90">
    <cfRule type="cellIs" dxfId="285" priority="55" operator="greaterThan">
      <formula>0.03</formula>
    </cfRule>
    <cfRule type="cellIs" dxfId="284" priority="56" stopIfTrue="1" operator="lessThan">
      <formula>-0.03</formula>
    </cfRule>
  </conditionalFormatting>
  <conditionalFormatting sqref="AA79">
    <cfRule type="cellIs" dxfId="283" priority="49" operator="greaterThan">
      <formula>0.03</formula>
    </cfRule>
    <cfRule type="cellIs" dxfId="282" priority="50" stopIfTrue="1" operator="lessThan">
      <formula>-0.03</formula>
    </cfRule>
  </conditionalFormatting>
  <conditionalFormatting sqref="Y87">
    <cfRule type="cellIs" dxfId="281" priority="41" operator="greaterThan">
      <formula>0.03</formula>
    </cfRule>
    <cfRule type="cellIs" dxfId="280" priority="42" stopIfTrue="1" operator="lessThan">
      <formula>-0.03</formula>
    </cfRule>
  </conditionalFormatting>
  <conditionalFormatting sqref="AA87">
    <cfRule type="cellIs" dxfId="279" priority="37" operator="greaterThan">
      <formula>0.03</formula>
    </cfRule>
    <cfRule type="cellIs" dxfId="278" priority="38" stopIfTrue="1" operator="lessThan">
      <formula>-0.03</formula>
    </cfRule>
  </conditionalFormatting>
  <conditionalFormatting sqref="Y82:Z82">
    <cfRule type="cellIs" dxfId="277" priority="35" operator="greaterThan">
      <formula>0.03</formula>
    </cfRule>
    <cfRule type="cellIs" dxfId="276" priority="36" stopIfTrue="1" operator="lessThan">
      <formula>-0.03</formula>
    </cfRule>
  </conditionalFormatting>
  <conditionalFormatting sqref="Y86:Z86">
    <cfRule type="cellIs" dxfId="275" priority="33" operator="greaterThan">
      <formula>0.03</formula>
    </cfRule>
    <cfRule type="cellIs" dxfId="274" priority="34" stopIfTrue="1" operator="lessThan">
      <formula>-0.03</formula>
    </cfRule>
  </conditionalFormatting>
  <conditionalFormatting sqref="Y79">
    <cfRule type="cellIs" dxfId="273" priority="53" operator="greaterThan">
      <formula>0.03</formula>
    </cfRule>
    <cfRule type="cellIs" dxfId="272" priority="54" stopIfTrue="1" operator="lessThan">
      <formula>-0.03</formula>
    </cfRule>
  </conditionalFormatting>
  <conditionalFormatting sqref="Z79">
    <cfRule type="cellIs" dxfId="271" priority="51" operator="greaterThan">
      <formula>0.03</formula>
    </cfRule>
    <cfRule type="cellIs" dxfId="270" priority="52" stopIfTrue="1" operator="lessThan">
      <formula>-0.03</formula>
    </cfRule>
  </conditionalFormatting>
  <conditionalFormatting sqref="AA83">
    <cfRule type="cellIs" dxfId="269" priority="43" operator="greaterThan">
      <formula>0.03</formula>
    </cfRule>
    <cfRule type="cellIs" dxfId="268" priority="44" stopIfTrue="1" operator="lessThan">
      <formula>-0.03</formula>
    </cfRule>
  </conditionalFormatting>
  <conditionalFormatting sqref="Y90:Z90">
    <cfRule type="cellIs" dxfId="267" priority="31" operator="greaterThan">
      <formula>0.03</formula>
    </cfRule>
    <cfRule type="cellIs" dxfId="266" priority="32" stopIfTrue="1" operator="lessThan">
      <formula>-0.03</formula>
    </cfRule>
  </conditionalFormatting>
  <conditionalFormatting sqref="Y94:Z94">
    <cfRule type="cellIs" dxfId="265" priority="103" operator="greaterThan">
      <formula>0.03</formula>
    </cfRule>
    <cfRule type="cellIs" dxfId="264" priority="104" stopIfTrue="1" operator="lessThan">
      <formula>-0.03</formula>
    </cfRule>
  </conditionalFormatting>
  <conditionalFormatting sqref="Z103">
    <cfRule type="cellIs" dxfId="263" priority="107" operator="greaterThan">
      <formula>0.03</formula>
    </cfRule>
    <cfRule type="cellIs" dxfId="262" priority="108" stopIfTrue="1" operator="lessThan">
      <formula>-0.03</formula>
    </cfRule>
  </conditionalFormatting>
  <conditionalFormatting sqref="Y103">
    <cfRule type="cellIs" dxfId="261" priority="109" operator="greaterThan">
      <formula>0.03</formula>
    </cfRule>
    <cfRule type="cellIs" dxfId="260" priority="110" stopIfTrue="1" operator="lessThan">
      <formula>-0.03</formula>
    </cfRule>
  </conditionalFormatting>
  <conditionalFormatting sqref="AA103">
    <cfRule type="cellIs" dxfId="259" priority="105" operator="greaterThan">
      <formula>0.03</formula>
    </cfRule>
    <cfRule type="cellIs" dxfId="258" priority="106" stopIfTrue="1" operator="lessThan">
      <formula>-0.03</formula>
    </cfRule>
  </conditionalFormatting>
  <conditionalFormatting sqref="Y99">
    <cfRule type="cellIs" dxfId="257" priority="115" operator="greaterThan">
      <formula>0.03</formula>
    </cfRule>
    <cfRule type="cellIs" dxfId="256" priority="116" stopIfTrue="1" operator="lessThan">
      <formula>-0.03</formula>
    </cfRule>
  </conditionalFormatting>
  <conditionalFormatting sqref="V91:X106">
    <cfRule type="cellIs" dxfId="255" priority="129" operator="greaterThan">
      <formula>0.03</formula>
    </cfRule>
    <cfRule type="cellIs" dxfId="254" priority="130" stopIfTrue="1" operator="lessThan">
      <formula>-0.03</formula>
    </cfRule>
  </conditionalFormatting>
  <conditionalFormatting sqref="Y91">
    <cfRule type="cellIs" dxfId="253" priority="127" operator="greaterThan">
      <formula>0.03</formula>
    </cfRule>
    <cfRule type="cellIs" dxfId="252" priority="128" stopIfTrue="1" operator="lessThan">
      <formula>-0.03</formula>
    </cfRule>
  </conditionalFormatting>
  <conditionalFormatting sqref="Z91">
    <cfRule type="cellIs" dxfId="251" priority="125" operator="greaterThan">
      <formula>0.03</formula>
    </cfRule>
    <cfRule type="cellIs" dxfId="250" priority="126" stopIfTrue="1" operator="lessThan">
      <formula>-0.03</formula>
    </cfRule>
  </conditionalFormatting>
  <conditionalFormatting sqref="AA91">
    <cfRule type="cellIs" dxfId="249" priority="123" operator="greaterThan">
      <formula>0.03</formula>
    </cfRule>
    <cfRule type="cellIs" dxfId="248" priority="124" stopIfTrue="1" operator="lessThan">
      <formula>-0.03</formula>
    </cfRule>
  </conditionalFormatting>
  <conditionalFormatting sqref="Y95">
    <cfRule type="cellIs" dxfId="247" priority="121" operator="greaterThan">
      <formula>0.03</formula>
    </cfRule>
    <cfRule type="cellIs" dxfId="246" priority="122" stopIfTrue="1" operator="lessThan">
      <formula>-0.03</formula>
    </cfRule>
  </conditionalFormatting>
  <conditionalFormatting sqref="Z95">
    <cfRule type="cellIs" dxfId="245" priority="119" operator="greaterThan">
      <formula>0.03</formula>
    </cfRule>
    <cfRule type="cellIs" dxfId="244" priority="120" stopIfTrue="1" operator="lessThan">
      <formula>-0.03</formula>
    </cfRule>
  </conditionalFormatting>
  <conditionalFormatting sqref="AA95">
    <cfRule type="cellIs" dxfId="243" priority="117" operator="greaterThan">
      <formula>0.03</formula>
    </cfRule>
    <cfRule type="cellIs" dxfId="242" priority="118" stopIfTrue="1" operator="lessThan">
      <formula>-0.03</formula>
    </cfRule>
  </conditionalFormatting>
  <conditionalFormatting sqref="Z99">
    <cfRule type="cellIs" dxfId="241" priority="113" operator="greaterThan">
      <formula>0.03</formula>
    </cfRule>
    <cfRule type="cellIs" dxfId="240" priority="114" stopIfTrue="1" operator="lessThan">
      <formula>-0.03</formula>
    </cfRule>
  </conditionalFormatting>
  <conditionalFormatting sqref="AA99">
    <cfRule type="cellIs" dxfId="239" priority="111" operator="greaterThan">
      <formula>0.03</formula>
    </cfRule>
    <cfRule type="cellIs" dxfId="238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AA137"/>
  <sheetViews>
    <sheetView tabSelected="1" workbookViewId="0"/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37</v>
      </c>
      <c r="T2" s="7" t="s">
        <v>38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/>
      <c r="E3" s="13"/>
      <c r="F3" s="13"/>
      <c r="G3" s="13"/>
      <c r="H3" s="13"/>
      <c r="I3" s="13"/>
      <c r="J3" s="14"/>
      <c r="L3" s="12"/>
      <c r="M3" s="13"/>
      <c r="N3" s="13"/>
      <c r="O3" s="13"/>
      <c r="P3" s="13"/>
      <c r="Q3" s="13"/>
      <c r="R3" s="14"/>
      <c r="S3" s="13"/>
      <c r="T3" s="13"/>
      <c r="U3" s="58"/>
      <c r="V3" s="41"/>
      <c r="W3" s="46"/>
      <c r="X3" s="47"/>
      <c r="Y3" s="41"/>
      <c r="Z3" s="46"/>
      <c r="AA3" s="47"/>
    </row>
    <row r="4" spans="1:27" x14ac:dyDescent="0.2">
      <c r="A4" s="16" t="s">
        <v>44</v>
      </c>
      <c r="B4" s="16"/>
      <c r="C4" s="16">
        <v>27</v>
      </c>
      <c r="D4" s="17"/>
      <c r="E4" s="18"/>
      <c r="F4" s="18"/>
      <c r="G4" s="18"/>
      <c r="H4" s="18"/>
      <c r="I4" s="18"/>
      <c r="J4" s="19"/>
      <c r="L4" s="17"/>
      <c r="M4" s="18"/>
      <c r="N4" s="18"/>
      <c r="O4" s="18"/>
      <c r="P4" s="18"/>
      <c r="Q4" s="18"/>
      <c r="R4" s="19"/>
      <c r="S4" s="18"/>
      <c r="T4" s="18"/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/>
      <c r="E5" s="18"/>
      <c r="F5" s="18"/>
      <c r="G5" s="18"/>
      <c r="H5" s="18"/>
      <c r="I5" s="18"/>
      <c r="J5" s="19"/>
      <c r="L5" s="17"/>
      <c r="M5" s="18"/>
      <c r="N5" s="18"/>
      <c r="O5" s="18"/>
      <c r="P5" s="18"/>
      <c r="Q5" s="18"/>
      <c r="R5" s="19"/>
      <c r="S5" s="18"/>
      <c r="T5" s="18"/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/>
      <c r="E6" s="23"/>
      <c r="F6" s="23"/>
      <c r="G6" s="23"/>
      <c r="H6" s="23"/>
      <c r="I6" s="23"/>
      <c r="J6" s="24"/>
      <c r="L6" s="22"/>
      <c r="M6" s="23"/>
      <c r="N6" s="23"/>
      <c r="O6" s="23"/>
      <c r="P6" s="23"/>
      <c r="Q6" s="23"/>
      <c r="R6" s="24"/>
      <c r="S6" s="18"/>
      <c r="T6" s="18"/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/>
      <c r="E7" s="13"/>
      <c r="F7" s="13"/>
      <c r="G7" s="13"/>
      <c r="H7" s="13"/>
      <c r="I7" s="13"/>
      <c r="J7" s="14"/>
      <c r="L7" s="12"/>
      <c r="M7" s="13"/>
      <c r="N7" s="13"/>
      <c r="O7" s="13"/>
      <c r="P7" s="13"/>
      <c r="Q7" s="13"/>
      <c r="R7" s="14"/>
      <c r="S7" s="18"/>
      <c r="T7" s="18"/>
      <c r="U7" s="59"/>
      <c r="V7" s="41"/>
      <c r="W7" s="46"/>
      <c r="X7" s="46"/>
      <c r="Y7" s="44"/>
      <c r="Z7" s="48"/>
      <c r="AA7" s="49"/>
    </row>
    <row r="8" spans="1:27" x14ac:dyDescent="0.2">
      <c r="A8" s="16"/>
      <c r="B8" s="16"/>
      <c r="C8" s="16">
        <v>27</v>
      </c>
      <c r="D8" s="17"/>
      <c r="E8" s="18"/>
      <c r="F8" s="18"/>
      <c r="G8" s="18"/>
      <c r="H8" s="18"/>
      <c r="I8" s="18"/>
      <c r="J8" s="19"/>
      <c r="L8" s="17"/>
      <c r="M8" s="18"/>
      <c r="N8" s="18"/>
      <c r="O8" s="18"/>
      <c r="P8" s="18"/>
      <c r="Q8" s="18"/>
      <c r="R8" s="19"/>
      <c r="S8" s="18"/>
      <c r="T8" s="18"/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/>
      <c r="E9" s="18"/>
      <c r="F9" s="18"/>
      <c r="G9" s="18"/>
      <c r="H9" s="18"/>
      <c r="I9" s="18"/>
      <c r="J9" s="19"/>
      <c r="L9" s="17"/>
      <c r="M9" s="18"/>
      <c r="N9" s="18"/>
      <c r="O9" s="18"/>
      <c r="P9" s="18"/>
      <c r="Q9" s="18"/>
      <c r="R9" s="19"/>
      <c r="S9" s="18"/>
      <c r="T9" s="18"/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/>
      <c r="E10" s="23"/>
      <c r="F10" s="23"/>
      <c r="G10" s="23"/>
      <c r="H10" s="23"/>
      <c r="I10" s="23"/>
      <c r="J10" s="24"/>
      <c r="L10" s="22"/>
      <c r="M10" s="23"/>
      <c r="N10" s="23"/>
      <c r="O10" s="23"/>
      <c r="P10" s="23"/>
      <c r="Q10" s="23"/>
      <c r="R10" s="24"/>
      <c r="S10" s="18"/>
      <c r="T10" s="18"/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/>
      <c r="E11" s="13"/>
      <c r="F11" s="13"/>
      <c r="G11" s="13"/>
      <c r="H11" s="13"/>
      <c r="I11" s="13"/>
      <c r="J11" s="14"/>
      <c r="L11" s="12"/>
      <c r="M11" s="13"/>
      <c r="N11" s="13"/>
      <c r="O11" s="13"/>
      <c r="P11" s="13"/>
      <c r="Q11" s="13"/>
      <c r="R11" s="14"/>
      <c r="S11" s="18"/>
      <c r="T11" s="18"/>
      <c r="U11" s="59"/>
      <c r="V11" s="41"/>
      <c r="W11" s="46"/>
      <c r="X11" s="46"/>
      <c r="Y11" s="44"/>
      <c r="Z11" s="48"/>
      <c r="AA11" s="49"/>
    </row>
    <row r="12" spans="1:27" x14ac:dyDescent="0.2">
      <c r="A12" s="35"/>
      <c r="B12" s="35"/>
      <c r="C12" s="35">
        <v>27</v>
      </c>
      <c r="D12" s="17"/>
      <c r="E12" s="18"/>
      <c r="F12" s="18"/>
      <c r="G12" s="18"/>
      <c r="H12" s="18"/>
      <c r="I12" s="18"/>
      <c r="J12" s="19"/>
      <c r="L12" s="17"/>
      <c r="M12" s="18"/>
      <c r="N12" s="18"/>
      <c r="O12" s="18"/>
      <c r="P12" s="18"/>
      <c r="Q12" s="18"/>
      <c r="R12" s="19"/>
      <c r="S12" s="18"/>
      <c r="T12" s="18"/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/>
      <c r="E13" s="18"/>
      <c r="F13" s="18"/>
      <c r="G13" s="18"/>
      <c r="H13" s="18"/>
      <c r="I13" s="18"/>
      <c r="J13" s="19"/>
      <c r="L13" s="17"/>
      <c r="M13" s="18"/>
      <c r="N13" s="18"/>
      <c r="O13" s="18"/>
      <c r="P13" s="18"/>
      <c r="Q13" s="18"/>
      <c r="R13" s="19"/>
      <c r="S13" s="18"/>
      <c r="T13" s="18"/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/>
      <c r="E14" s="23"/>
      <c r="F14" s="23"/>
      <c r="G14" s="23"/>
      <c r="H14" s="23"/>
      <c r="I14" s="23"/>
      <c r="J14" s="24"/>
      <c r="L14" s="22"/>
      <c r="M14" s="23"/>
      <c r="N14" s="23"/>
      <c r="O14" s="23"/>
      <c r="P14" s="23"/>
      <c r="Q14" s="23"/>
      <c r="R14" s="24"/>
      <c r="S14" s="18"/>
      <c r="T14" s="18"/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/>
      <c r="E15" s="13"/>
      <c r="F15" s="13"/>
      <c r="G15" s="13"/>
      <c r="H15" s="13"/>
      <c r="I15" s="13"/>
      <c r="J15" s="14"/>
      <c r="L15" s="12"/>
      <c r="M15" s="13"/>
      <c r="N15" s="13"/>
      <c r="O15" s="13"/>
      <c r="P15" s="13"/>
      <c r="Q15" s="13"/>
      <c r="R15" s="14"/>
      <c r="S15" s="13"/>
      <c r="T15" s="13"/>
      <c r="U15" s="58"/>
      <c r="V15" s="41"/>
      <c r="W15" s="46"/>
      <c r="X15" s="47"/>
      <c r="Y15" s="41"/>
      <c r="Z15" s="46"/>
      <c r="AA15" s="47"/>
    </row>
    <row r="16" spans="1:27" x14ac:dyDescent="0.2">
      <c r="A16" s="16" t="s">
        <v>44</v>
      </c>
      <c r="B16" s="16"/>
      <c r="C16" s="16">
        <v>27</v>
      </c>
      <c r="D16" s="17"/>
      <c r="E16" s="18"/>
      <c r="F16" s="18"/>
      <c r="G16" s="18"/>
      <c r="H16" s="18"/>
      <c r="I16" s="18"/>
      <c r="J16" s="19"/>
      <c r="L16" s="17"/>
      <c r="M16" s="18"/>
      <c r="N16" s="18"/>
      <c r="O16" s="18"/>
      <c r="P16" s="18"/>
      <c r="Q16" s="18"/>
      <c r="R16" s="19"/>
      <c r="S16" s="18"/>
      <c r="T16" s="18"/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/>
      <c r="E17" s="18"/>
      <c r="F17" s="18"/>
      <c r="G17" s="18"/>
      <c r="H17" s="18"/>
      <c r="I17" s="18"/>
      <c r="J17" s="19"/>
      <c r="L17" s="17"/>
      <c r="M17" s="18"/>
      <c r="N17" s="18"/>
      <c r="O17" s="18"/>
      <c r="P17" s="18"/>
      <c r="Q17" s="18"/>
      <c r="R17" s="19"/>
      <c r="S17" s="18"/>
      <c r="T17" s="18"/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/>
      <c r="E18" s="23"/>
      <c r="F18" s="23"/>
      <c r="G18" s="23"/>
      <c r="H18" s="23"/>
      <c r="I18" s="23"/>
      <c r="J18" s="24"/>
      <c r="L18" s="22"/>
      <c r="M18" s="23"/>
      <c r="N18" s="23"/>
      <c r="O18" s="23"/>
      <c r="P18" s="23"/>
      <c r="Q18" s="23"/>
      <c r="R18" s="24"/>
      <c r="S18" s="18"/>
      <c r="T18" s="18"/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/>
      <c r="E19" s="13"/>
      <c r="F19" s="13"/>
      <c r="G19" s="13"/>
      <c r="H19" s="13"/>
      <c r="I19" s="13"/>
      <c r="J19" s="14"/>
      <c r="L19" s="12"/>
      <c r="M19" s="13"/>
      <c r="N19" s="13"/>
      <c r="O19" s="13"/>
      <c r="P19" s="13"/>
      <c r="Q19" s="13"/>
      <c r="R19" s="14"/>
      <c r="S19" s="18"/>
      <c r="T19" s="18"/>
      <c r="U19" s="59"/>
      <c r="V19" s="41"/>
      <c r="W19" s="46"/>
      <c r="X19" s="46"/>
      <c r="Y19" s="44"/>
      <c r="Z19" s="48"/>
      <c r="AA19" s="49"/>
    </row>
    <row r="20" spans="1:27" x14ac:dyDescent="0.2">
      <c r="A20" s="16"/>
      <c r="B20" s="16"/>
      <c r="C20" s="16">
        <v>27</v>
      </c>
      <c r="D20" s="17"/>
      <c r="E20" s="18"/>
      <c r="F20" s="18"/>
      <c r="G20" s="18"/>
      <c r="H20" s="18"/>
      <c r="I20" s="18"/>
      <c r="J20" s="19"/>
      <c r="L20" s="17"/>
      <c r="M20" s="18"/>
      <c r="N20" s="18"/>
      <c r="O20" s="18"/>
      <c r="P20" s="18"/>
      <c r="Q20" s="18"/>
      <c r="R20" s="19"/>
      <c r="S20" s="18"/>
      <c r="T20" s="18"/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/>
      <c r="E21" s="18"/>
      <c r="F21" s="18"/>
      <c r="G21" s="18"/>
      <c r="H21" s="18"/>
      <c r="I21" s="18"/>
      <c r="J21" s="19"/>
      <c r="L21" s="17"/>
      <c r="M21" s="18"/>
      <c r="N21" s="18"/>
      <c r="O21" s="18"/>
      <c r="P21" s="18"/>
      <c r="Q21" s="18"/>
      <c r="R21" s="19"/>
      <c r="S21" s="18"/>
      <c r="T21" s="18"/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/>
      <c r="E22" s="23"/>
      <c r="F22" s="23"/>
      <c r="G22" s="23"/>
      <c r="H22" s="23"/>
      <c r="I22" s="23"/>
      <c r="J22" s="24"/>
      <c r="L22" s="22"/>
      <c r="M22" s="23"/>
      <c r="N22" s="23"/>
      <c r="O22" s="23"/>
      <c r="P22" s="23"/>
      <c r="Q22" s="23"/>
      <c r="R22" s="24"/>
      <c r="S22" s="18"/>
      <c r="T22" s="18"/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/>
      <c r="E23" s="13"/>
      <c r="F23" s="13"/>
      <c r="G23" s="13"/>
      <c r="H23" s="13"/>
      <c r="I23" s="13"/>
      <c r="J23" s="14"/>
      <c r="L23" s="12"/>
      <c r="M23" s="13"/>
      <c r="N23" s="13"/>
      <c r="O23" s="13"/>
      <c r="P23" s="13"/>
      <c r="Q23" s="13"/>
      <c r="R23" s="14"/>
      <c r="S23" s="18"/>
      <c r="T23" s="18"/>
      <c r="U23" s="59"/>
      <c r="V23" s="41"/>
      <c r="W23" s="46"/>
      <c r="X23" s="46"/>
      <c r="Y23" s="44"/>
      <c r="Z23" s="48"/>
      <c r="AA23" s="49"/>
    </row>
    <row r="24" spans="1:27" x14ac:dyDescent="0.2">
      <c r="A24" s="35"/>
      <c r="B24" s="16"/>
      <c r="C24" s="35">
        <v>27</v>
      </c>
      <c r="D24" s="17"/>
      <c r="E24" s="18"/>
      <c r="F24" s="18"/>
      <c r="G24" s="18"/>
      <c r="H24" s="18"/>
      <c r="I24" s="18"/>
      <c r="J24" s="19"/>
      <c r="L24" s="17"/>
      <c r="M24" s="18"/>
      <c r="N24" s="18"/>
      <c r="O24" s="18"/>
      <c r="P24" s="18"/>
      <c r="Q24" s="18"/>
      <c r="R24" s="19"/>
      <c r="S24" s="18"/>
      <c r="T24" s="18"/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/>
      <c r="E25" s="18"/>
      <c r="F25" s="18"/>
      <c r="G25" s="18"/>
      <c r="H25" s="18"/>
      <c r="I25" s="18"/>
      <c r="J25" s="19"/>
      <c r="L25" s="17"/>
      <c r="M25" s="18"/>
      <c r="N25" s="18"/>
      <c r="O25" s="18"/>
      <c r="P25" s="18"/>
      <c r="Q25" s="18"/>
      <c r="R25" s="19"/>
      <c r="S25" s="18"/>
      <c r="T25" s="18"/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/>
      <c r="E26" s="23"/>
      <c r="F26" s="23"/>
      <c r="G26" s="23"/>
      <c r="H26" s="23"/>
      <c r="I26" s="23"/>
      <c r="J26" s="24"/>
      <c r="L26" s="22"/>
      <c r="M26" s="23"/>
      <c r="N26" s="23"/>
      <c r="O26" s="23"/>
      <c r="P26" s="23"/>
      <c r="Q26" s="23"/>
      <c r="R26" s="24"/>
      <c r="S26" s="18"/>
      <c r="T26" s="18"/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Reference!B337</f>
        <v>0</v>
      </c>
      <c r="E27" s="13">
        <f>Reference!C337</f>
        <v>0</v>
      </c>
      <c r="F27" s="13">
        <f>Reference!D337</f>
        <v>0</v>
      </c>
      <c r="G27" s="13">
        <f>Reference!E337</f>
        <v>0</v>
      </c>
      <c r="H27" s="13">
        <f>Reference!F337</f>
        <v>0</v>
      </c>
      <c r="I27" s="13">
        <f>Reference!G337</f>
        <v>0</v>
      </c>
      <c r="J27" s="14">
        <f t="shared" ref="J27" si="0">H27/3600</f>
        <v>0</v>
      </c>
      <c r="L27" s="12">
        <f>Test!B337</f>
        <v>0</v>
      </c>
      <c r="M27" s="13">
        <f>Test!C337</f>
        <v>0</v>
      </c>
      <c r="N27" s="13">
        <f>Test!D337</f>
        <v>0</v>
      </c>
      <c r="O27" s="13">
        <f>Test!E337</f>
        <v>0</v>
      </c>
      <c r="P27" s="13">
        <f>Test!F337</f>
        <v>0</v>
      </c>
      <c r="Q27" s="13">
        <f>Test!G337</f>
        <v>0</v>
      </c>
      <c r="R27" s="14">
        <f t="shared" ref="R27:R79" si="1">P27/3600</f>
        <v>0</v>
      </c>
      <c r="S27" s="13" t="e">
        <f t="shared" ref="S27:T46" si="2">P27/H27</f>
        <v>#DIV/0!</v>
      </c>
      <c r="T27" s="13" t="e">
        <f t="shared" si="2"/>
        <v>#DIV/0!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 x14ac:dyDescent="0.2">
      <c r="A28" s="16" t="s">
        <v>45</v>
      </c>
      <c r="B28" s="16"/>
      <c r="C28" s="16">
        <v>27</v>
      </c>
      <c r="D28" s="17">
        <f>Reference!B338</f>
        <v>0</v>
      </c>
      <c r="E28" s="18">
        <f>Reference!C338</f>
        <v>0</v>
      </c>
      <c r="F28" s="18">
        <f>Reference!D338</f>
        <v>0</v>
      </c>
      <c r="G28" s="18">
        <f>Reference!E338</f>
        <v>0</v>
      </c>
      <c r="H28" s="18">
        <f>Reference!F338</f>
        <v>0</v>
      </c>
      <c r="I28" s="18">
        <f>Reference!G338</f>
        <v>0</v>
      </c>
      <c r="J28" s="19">
        <f t="shared" ref="J28:J91" si="3">H28/3600</f>
        <v>0</v>
      </c>
      <c r="L28" s="17">
        <f>Test!B338</f>
        <v>0</v>
      </c>
      <c r="M28" s="18">
        <f>Test!C338</f>
        <v>0</v>
      </c>
      <c r="N28" s="18">
        <f>Test!D338</f>
        <v>0</v>
      </c>
      <c r="O28" s="18">
        <f>Test!E338</f>
        <v>0</v>
      </c>
      <c r="P28" s="18">
        <f>Test!F338</f>
        <v>0</v>
      </c>
      <c r="Q28" s="18">
        <f>Test!G338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Reference!B339</f>
        <v>0</v>
      </c>
      <c r="E29" s="18">
        <f>Reference!C339</f>
        <v>0</v>
      </c>
      <c r="F29" s="18">
        <f>Reference!D339</f>
        <v>0</v>
      </c>
      <c r="G29" s="18">
        <f>Reference!E339</f>
        <v>0</v>
      </c>
      <c r="H29" s="18">
        <f>Reference!F339</f>
        <v>0</v>
      </c>
      <c r="I29" s="18">
        <f>Reference!G339</f>
        <v>0</v>
      </c>
      <c r="J29" s="19">
        <f t="shared" si="3"/>
        <v>0</v>
      </c>
      <c r="L29" s="17">
        <f>Test!B339</f>
        <v>0</v>
      </c>
      <c r="M29" s="18">
        <f>Test!C339</f>
        <v>0</v>
      </c>
      <c r="N29" s="18">
        <f>Test!D339</f>
        <v>0</v>
      </c>
      <c r="O29" s="18">
        <f>Test!E339</f>
        <v>0</v>
      </c>
      <c r="P29" s="18">
        <f>Test!F339</f>
        <v>0</v>
      </c>
      <c r="Q29" s="18">
        <f>Test!G339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Reference!B340</f>
        <v>0</v>
      </c>
      <c r="E30" s="23">
        <f>Reference!C340</f>
        <v>0</v>
      </c>
      <c r="F30" s="23">
        <f>Reference!D340</f>
        <v>0</v>
      </c>
      <c r="G30" s="23">
        <f>Reference!E340</f>
        <v>0</v>
      </c>
      <c r="H30" s="23">
        <f>Reference!F340</f>
        <v>0</v>
      </c>
      <c r="I30" s="23">
        <f>Reference!G340</f>
        <v>0</v>
      </c>
      <c r="J30" s="24">
        <f t="shared" si="3"/>
        <v>0</v>
      </c>
      <c r="L30" s="22">
        <f>Test!B340</f>
        <v>0</v>
      </c>
      <c r="M30" s="23">
        <f>Test!C340</f>
        <v>0</v>
      </c>
      <c r="N30" s="23">
        <f>Test!D340</f>
        <v>0</v>
      </c>
      <c r="O30" s="23">
        <f>Test!E340</f>
        <v>0</v>
      </c>
      <c r="P30" s="23">
        <f>Test!F340</f>
        <v>0</v>
      </c>
      <c r="Q30" s="23">
        <f>Test!G340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Reference!B341</f>
        <v>0</v>
      </c>
      <c r="E31" s="13">
        <f>Reference!C341</f>
        <v>0</v>
      </c>
      <c r="F31" s="13">
        <f>Reference!D341</f>
        <v>0</v>
      </c>
      <c r="G31" s="13">
        <f>Reference!E341</f>
        <v>0</v>
      </c>
      <c r="H31" s="13">
        <f>Reference!F341</f>
        <v>0</v>
      </c>
      <c r="I31" s="13">
        <f>Reference!G341</f>
        <v>0</v>
      </c>
      <c r="J31" s="14">
        <f t="shared" si="3"/>
        <v>0</v>
      </c>
      <c r="L31" s="12">
        <f>Test!B341</f>
        <v>0</v>
      </c>
      <c r="M31" s="13">
        <f>Test!C341</f>
        <v>0</v>
      </c>
      <c r="N31" s="13">
        <f>Test!D341</f>
        <v>0</v>
      </c>
      <c r="O31" s="13">
        <f>Test!E341</f>
        <v>0</v>
      </c>
      <c r="P31" s="13">
        <f>Test!F341</f>
        <v>0</v>
      </c>
      <c r="Q31" s="13">
        <f>Test!G341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 x14ac:dyDescent="0.2">
      <c r="A32" s="16"/>
      <c r="B32" s="16"/>
      <c r="C32" s="16">
        <v>27</v>
      </c>
      <c r="D32" s="17">
        <f>Reference!B342</f>
        <v>0</v>
      </c>
      <c r="E32" s="18">
        <f>Reference!C342</f>
        <v>0</v>
      </c>
      <c r="F32" s="18">
        <f>Reference!D342</f>
        <v>0</v>
      </c>
      <c r="G32" s="18">
        <f>Reference!E342</f>
        <v>0</v>
      </c>
      <c r="H32" s="18">
        <f>Reference!F342</f>
        <v>0</v>
      </c>
      <c r="I32" s="18">
        <f>Reference!G342</f>
        <v>0</v>
      </c>
      <c r="J32" s="19">
        <f t="shared" si="3"/>
        <v>0</v>
      </c>
      <c r="L32" s="17">
        <f>Test!B342</f>
        <v>0</v>
      </c>
      <c r="M32" s="18">
        <f>Test!C342</f>
        <v>0</v>
      </c>
      <c r="N32" s="18">
        <f>Test!D342</f>
        <v>0</v>
      </c>
      <c r="O32" s="18">
        <f>Test!E342</f>
        <v>0</v>
      </c>
      <c r="P32" s="18">
        <f>Test!F342</f>
        <v>0</v>
      </c>
      <c r="Q32" s="18">
        <f>Test!G342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Reference!B343</f>
        <v>0</v>
      </c>
      <c r="E33" s="18">
        <f>Reference!C343</f>
        <v>0</v>
      </c>
      <c r="F33" s="18">
        <f>Reference!D343</f>
        <v>0</v>
      </c>
      <c r="G33" s="18">
        <f>Reference!E343</f>
        <v>0</v>
      </c>
      <c r="H33" s="18">
        <f>Reference!F343</f>
        <v>0</v>
      </c>
      <c r="I33" s="18">
        <f>Reference!G343</f>
        <v>0</v>
      </c>
      <c r="J33" s="19">
        <f t="shared" si="3"/>
        <v>0</v>
      </c>
      <c r="L33" s="17">
        <f>Test!B343</f>
        <v>0</v>
      </c>
      <c r="M33" s="18">
        <f>Test!C343</f>
        <v>0</v>
      </c>
      <c r="N33" s="18">
        <f>Test!D343</f>
        <v>0</v>
      </c>
      <c r="O33" s="18">
        <f>Test!E343</f>
        <v>0</v>
      </c>
      <c r="P33" s="18">
        <f>Test!F343</f>
        <v>0</v>
      </c>
      <c r="Q33" s="18">
        <f>Test!G343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Reference!B344</f>
        <v>0</v>
      </c>
      <c r="E34" s="23">
        <f>Reference!C344</f>
        <v>0</v>
      </c>
      <c r="F34" s="23">
        <f>Reference!D344</f>
        <v>0</v>
      </c>
      <c r="G34" s="23">
        <f>Reference!E344</f>
        <v>0</v>
      </c>
      <c r="H34" s="23">
        <f>Reference!F344</f>
        <v>0</v>
      </c>
      <c r="I34" s="23">
        <f>Reference!G344</f>
        <v>0</v>
      </c>
      <c r="J34" s="24">
        <f t="shared" si="3"/>
        <v>0</v>
      </c>
      <c r="L34" s="22">
        <f>Test!B344</f>
        <v>0</v>
      </c>
      <c r="M34" s="23">
        <f>Test!C344</f>
        <v>0</v>
      </c>
      <c r="N34" s="23">
        <f>Test!D344</f>
        <v>0</v>
      </c>
      <c r="O34" s="23">
        <f>Test!E344</f>
        <v>0</v>
      </c>
      <c r="P34" s="23">
        <f>Test!F344</f>
        <v>0</v>
      </c>
      <c r="Q34" s="23">
        <f>Test!G344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Reference!B345</f>
        <v>22908.132799999999</v>
      </c>
      <c r="E35" s="13">
        <f>Reference!C345</f>
        <v>38.584400000000002</v>
      </c>
      <c r="F35" s="13">
        <f>Reference!D345</f>
        <v>40.063499999999998</v>
      </c>
      <c r="G35" s="13">
        <f>Reference!E345</f>
        <v>43.335999999999999</v>
      </c>
      <c r="H35" s="13">
        <f>Reference!F345</f>
        <v>20842.294999999998</v>
      </c>
      <c r="I35" s="13">
        <f>Reference!G345</f>
        <v>0</v>
      </c>
      <c r="J35" s="14">
        <f t="shared" si="3"/>
        <v>5.7895263888888886</v>
      </c>
      <c r="L35" s="12">
        <f>Test!B345</f>
        <v>0</v>
      </c>
      <c r="M35" s="13">
        <f>Test!C345</f>
        <v>0</v>
      </c>
      <c r="N35" s="13">
        <f>Test!D345</f>
        <v>0</v>
      </c>
      <c r="O35" s="13">
        <f>Test!E345</f>
        <v>0</v>
      </c>
      <c r="P35" s="13">
        <f>Test!F345</f>
        <v>0</v>
      </c>
      <c r="Q35" s="13">
        <f>Test!G345</f>
        <v>0</v>
      </c>
      <c r="R35" s="14">
        <f t="shared" si="1"/>
        <v>0</v>
      </c>
      <c r="S35" s="18">
        <f t="shared" si="2"/>
        <v>0</v>
      </c>
      <c r="T35" s="18" t="e">
        <f t="shared" si="2"/>
        <v>#DIV/0!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 x14ac:dyDescent="0.2">
      <c r="A36" s="16"/>
      <c r="B36" s="16"/>
      <c r="C36" s="16">
        <v>27</v>
      </c>
      <c r="D36" s="17">
        <f>Reference!B346</f>
        <v>6034.6904000000004</v>
      </c>
      <c r="E36" s="18">
        <f>Reference!C346</f>
        <v>36.627200000000002</v>
      </c>
      <c r="F36" s="18">
        <f>Reference!D346</f>
        <v>38.862900000000003</v>
      </c>
      <c r="G36" s="18">
        <f>Reference!E346</f>
        <v>41.406300000000002</v>
      </c>
      <c r="H36" s="18">
        <f>Reference!F346</f>
        <v>14882.913</v>
      </c>
      <c r="I36" s="18">
        <f>Reference!G346</f>
        <v>0</v>
      </c>
      <c r="J36" s="19">
        <f t="shared" si="3"/>
        <v>4.1341425000000003</v>
      </c>
      <c r="L36" s="17">
        <f>Test!B346</f>
        <v>0</v>
      </c>
      <c r="M36" s="18">
        <f>Test!C346</f>
        <v>0</v>
      </c>
      <c r="N36" s="18">
        <f>Test!D346</f>
        <v>0</v>
      </c>
      <c r="O36" s="18">
        <f>Test!E346</f>
        <v>0</v>
      </c>
      <c r="P36" s="18">
        <f>Test!F346</f>
        <v>0</v>
      </c>
      <c r="Q36" s="18">
        <f>Test!G346</f>
        <v>0</v>
      </c>
      <c r="R36" s="19">
        <f t="shared" si="1"/>
        <v>0</v>
      </c>
      <c r="S36" s="18">
        <f t="shared" si="2"/>
        <v>0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Reference!B347</f>
        <v>2652.6183999999998</v>
      </c>
      <c r="E37" s="18">
        <f>Reference!C347</f>
        <v>34.496699999999997</v>
      </c>
      <c r="F37" s="18">
        <f>Reference!D347</f>
        <v>37.893999999999998</v>
      </c>
      <c r="G37" s="18">
        <f>Reference!E347</f>
        <v>39.746899999999997</v>
      </c>
      <c r="H37" s="18">
        <f>Reference!F347</f>
        <v>12595.316999999999</v>
      </c>
      <c r="I37" s="18">
        <f>Reference!G347</f>
        <v>0</v>
      </c>
      <c r="J37" s="19">
        <f t="shared" si="3"/>
        <v>3.4986991666666665</v>
      </c>
      <c r="L37" s="17">
        <f>Test!B347</f>
        <v>0</v>
      </c>
      <c r="M37" s="18">
        <f>Test!C347</f>
        <v>0</v>
      </c>
      <c r="N37" s="18">
        <f>Test!D347</f>
        <v>0</v>
      </c>
      <c r="O37" s="18">
        <f>Test!E347</f>
        <v>0</v>
      </c>
      <c r="P37" s="18">
        <f>Test!F347</f>
        <v>0</v>
      </c>
      <c r="Q37" s="18">
        <f>Test!G347</f>
        <v>0</v>
      </c>
      <c r="R37" s="19">
        <f t="shared" si="1"/>
        <v>0</v>
      </c>
      <c r="S37" s="18">
        <f t="shared" si="2"/>
        <v>0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Reference!B348</f>
        <v>1304.9416000000001</v>
      </c>
      <c r="E38" s="23">
        <f>Reference!C348</f>
        <v>32.206200000000003</v>
      </c>
      <c r="F38" s="23">
        <f>Reference!D348</f>
        <v>37.139099999999999</v>
      </c>
      <c r="G38" s="23">
        <f>Reference!E348</f>
        <v>38.520600000000002</v>
      </c>
      <c r="H38" s="23">
        <f>Reference!F348</f>
        <v>11388.18</v>
      </c>
      <c r="I38" s="23">
        <f>Reference!G348</f>
        <v>0</v>
      </c>
      <c r="J38" s="24">
        <f t="shared" si="3"/>
        <v>3.1633833333333334</v>
      </c>
      <c r="L38" s="22">
        <f>Test!B348</f>
        <v>0</v>
      </c>
      <c r="M38" s="23">
        <f>Test!C348</f>
        <v>0</v>
      </c>
      <c r="N38" s="23">
        <f>Test!D348</f>
        <v>0</v>
      </c>
      <c r="O38" s="23">
        <f>Test!E348</f>
        <v>0</v>
      </c>
      <c r="P38" s="23">
        <f>Test!F348</f>
        <v>0</v>
      </c>
      <c r="Q38" s="23">
        <f>Test!G348</f>
        <v>0</v>
      </c>
      <c r="R38" s="24">
        <f t="shared" si="1"/>
        <v>0</v>
      </c>
      <c r="S38" s="18">
        <f t="shared" si="2"/>
        <v>0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Reference!B349</f>
        <v>21512.488000000001</v>
      </c>
      <c r="E39" s="13">
        <f>Reference!C349</f>
        <v>39.3416</v>
      </c>
      <c r="F39" s="13">
        <f>Reference!D349</f>
        <v>43.569299999999998</v>
      </c>
      <c r="G39" s="13">
        <f>Reference!E349</f>
        <v>44.752400000000002</v>
      </c>
      <c r="H39" s="13">
        <f>Reference!F349</f>
        <v>23257.992999999999</v>
      </c>
      <c r="I39" s="13">
        <f>Reference!G349</f>
        <v>0</v>
      </c>
      <c r="J39" s="14">
        <f t="shared" si="3"/>
        <v>6.460553611111111</v>
      </c>
      <c r="L39" s="12">
        <f>Test!B349</f>
        <v>0</v>
      </c>
      <c r="M39" s="13">
        <f>Test!C349</f>
        <v>0</v>
      </c>
      <c r="N39" s="13">
        <f>Test!D349</f>
        <v>0</v>
      </c>
      <c r="O39" s="13">
        <f>Test!E349</f>
        <v>0</v>
      </c>
      <c r="P39" s="13">
        <f>Test!F349</f>
        <v>0</v>
      </c>
      <c r="Q39" s="13">
        <f>Test!G349</f>
        <v>0</v>
      </c>
      <c r="R39" s="14">
        <f t="shared" si="1"/>
        <v>0</v>
      </c>
      <c r="S39" s="18">
        <f t="shared" si="2"/>
        <v>0</v>
      </c>
      <c r="T39" s="18" t="e">
        <f t="shared" si="2"/>
        <v>#DIV/0!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 x14ac:dyDescent="0.2">
      <c r="A40" s="16"/>
      <c r="B40" s="16"/>
      <c r="C40" s="16">
        <v>27</v>
      </c>
      <c r="D40" s="17">
        <f>Reference!B350</f>
        <v>7161.3440000000001</v>
      </c>
      <c r="E40" s="18">
        <f>Reference!C350</f>
        <v>37.396799999999999</v>
      </c>
      <c r="F40" s="18">
        <f>Reference!D350</f>
        <v>42.130899999999997</v>
      </c>
      <c r="G40" s="18">
        <f>Reference!E350</f>
        <v>42.576500000000003</v>
      </c>
      <c r="H40" s="18">
        <f>Reference!F350</f>
        <v>17789.109</v>
      </c>
      <c r="I40" s="18">
        <f>Reference!G350</f>
        <v>0</v>
      </c>
      <c r="J40" s="19">
        <f t="shared" si="3"/>
        <v>4.9414191666666669</v>
      </c>
      <c r="L40" s="17">
        <f>Test!B350</f>
        <v>0</v>
      </c>
      <c r="M40" s="18">
        <f>Test!C350</f>
        <v>0</v>
      </c>
      <c r="N40" s="18">
        <f>Test!D350</f>
        <v>0</v>
      </c>
      <c r="O40" s="18">
        <f>Test!E350</f>
        <v>0</v>
      </c>
      <c r="P40" s="18">
        <f>Test!F350</f>
        <v>0</v>
      </c>
      <c r="Q40" s="18">
        <f>Test!G350</f>
        <v>0</v>
      </c>
      <c r="R40" s="19">
        <f t="shared" si="1"/>
        <v>0</v>
      </c>
      <c r="S40" s="18">
        <f t="shared" si="2"/>
        <v>0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Reference!B351</f>
        <v>3269.5472</v>
      </c>
      <c r="E41" s="18">
        <f>Reference!C351</f>
        <v>35.3825</v>
      </c>
      <c r="F41" s="18">
        <f>Reference!D351</f>
        <v>40.732100000000003</v>
      </c>
      <c r="G41" s="18">
        <f>Reference!E351</f>
        <v>40.599800000000002</v>
      </c>
      <c r="H41" s="18">
        <f>Reference!F351</f>
        <v>14997.326999999999</v>
      </c>
      <c r="I41" s="18">
        <f>Reference!G351</f>
        <v>0</v>
      </c>
      <c r="J41" s="19">
        <f t="shared" si="3"/>
        <v>4.1659241666666667</v>
      </c>
      <c r="L41" s="17">
        <f>Test!B351</f>
        <v>0</v>
      </c>
      <c r="M41" s="18">
        <f>Test!C351</f>
        <v>0</v>
      </c>
      <c r="N41" s="18">
        <f>Test!D351</f>
        <v>0</v>
      </c>
      <c r="O41" s="18">
        <f>Test!E351</f>
        <v>0</v>
      </c>
      <c r="P41" s="18">
        <f>Test!F351</f>
        <v>0</v>
      </c>
      <c r="Q41" s="18">
        <f>Test!G351</f>
        <v>0</v>
      </c>
      <c r="R41" s="19">
        <f t="shared" si="1"/>
        <v>0</v>
      </c>
      <c r="S41" s="18">
        <f t="shared" si="2"/>
        <v>0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Reference!B352</f>
        <v>1660.6376</v>
      </c>
      <c r="E42" s="23">
        <f>Reference!C352</f>
        <v>33.232900000000001</v>
      </c>
      <c r="F42" s="23">
        <f>Reference!D352</f>
        <v>39.761899999999997</v>
      </c>
      <c r="G42" s="23">
        <f>Reference!E352</f>
        <v>39.2928</v>
      </c>
      <c r="H42" s="23">
        <f>Reference!F352</f>
        <v>13328.755999999999</v>
      </c>
      <c r="I42" s="23">
        <f>Reference!G352</f>
        <v>0</v>
      </c>
      <c r="J42" s="24">
        <f t="shared" si="3"/>
        <v>3.7024322222222219</v>
      </c>
      <c r="L42" s="22">
        <f>Test!B352</f>
        <v>0</v>
      </c>
      <c r="M42" s="23">
        <f>Test!C352</f>
        <v>0</v>
      </c>
      <c r="N42" s="23">
        <f>Test!D352</f>
        <v>0</v>
      </c>
      <c r="O42" s="23">
        <f>Test!E352</f>
        <v>0</v>
      </c>
      <c r="P42" s="23">
        <f>Test!F352</f>
        <v>0</v>
      </c>
      <c r="Q42" s="23">
        <f>Test!G352</f>
        <v>0</v>
      </c>
      <c r="R42" s="24">
        <f t="shared" si="1"/>
        <v>0</v>
      </c>
      <c r="S42" s="18">
        <f t="shared" si="2"/>
        <v>0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Reference!B353</f>
        <v>64604.739200000004</v>
      </c>
      <c r="E43" s="13">
        <f>Reference!C353</f>
        <v>38.290700000000001</v>
      </c>
      <c r="F43" s="13">
        <f>Reference!D353</f>
        <v>41.826700000000002</v>
      </c>
      <c r="G43" s="13">
        <f>Reference!E353</f>
        <v>43.992400000000004</v>
      </c>
      <c r="H43" s="13">
        <f>Reference!F353</f>
        <v>31249.905999999999</v>
      </c>
      <c r="I43" s="13">
        <f>Reference!G353</f>
        <v>0</v>
      </c>
      <c r="J43" s="14">
        <f t="shared" si="3"/>
        <v>8.6805294444444439</v>
      </c>
      <c r="L43" s="12">
        <f>Test!B353</f>
        <v>0</v>
      </c>
      <c r="M43" s="13">
        <f>Test!C353</f>
        <v>0</v>
      </c>
      <c r="N43" s="13">
        <f>Test!D353</f>
        <v>0</v>
      </c>
      <c r="O43" s="13">
        <f>Test!E353</f>
        <v>0</v>
      </c>
      <c r="P43" s="13">
        <f>Test!F353</f>
        <v>0</v>
      </c>
      <c r="Q43" s="13">
        <f>Test!G353</f>
        <v>0</v>
      </c>
      <c r="R43" s="14">
        <f t="shared" si="1"/>
        <v>0</v>
      </c>
      <c r="S43" s="18">
        <f t="shared" si="2"/>
        <v>0</v>
      </c>
      <c r="T43" s="18" t="e">
        <f t="shared" si="2"/>
        <v>#DIV/0!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 x14ac:dyDescent="0.2">
      <c r="A44" s="16"/>
      <c r="B44" s="16"/>
      <c r="C44" s="16">
        <v>27</v>
      </c>
      <c r="D44" s="17">
        <f>Reference!B354</f>
        <v>9751.8320000000003</v>
      </c>
      <c r="E44" s="18">
        <f>Reference!C354</f>
        <v>35.126600000000003</v>
      </c>
      <c r="F44" s="18">
        <f>Reference!D354</f>
        <v>40.383099999999999</v>
      </c>
      <c r="G44" s="18">
        <f>Reference!E354</f>
        <v>42.776400000000002</v>
      </c>
      <c r="H44" s="18">
        <f>Reference!F354</f>
        <v>17531.742999999999</v>
      </c>
      <c r="I44" s="18">
        <f>Reference!G354</f>
        <v>0</v>
      </c>
      <c r="J44" s="19">
        <f t="shared" si="3"/>
        <v>4.8699286111111109</v>
      </c>
      <c r="L44" s="17">
        <f>Test!B354</f>
        <v>0</v>
      </c>
      <c r="M44" s="18">
        <f>Test!C354</f>
        <v>0</v>
      </c>
      <c r="N44" s="18">
        <f>Test!D354</f>
        <v>0</v>
      </c>
      <c r="O44" s="18">
        <f>Test!E354</f>
        <v>0</v>
      </c>
      <c r="P44" s="18">
        <f>Test!F354</f>
        <v>0</v>
      </c>
      <c r="Q44" s="18">
        <f>Test!G354</f>
        <v>0</v>
      </c>
      <c r="R44" s="19">
        <f t="shared" si="1"/>
        <v>0</v>
      </c>
      <c r="S44" s="18">
        <f t="shared" si="2"/>
        <v>0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Reference!B355</f>
        <v>2357.8175999999999</v>
      </c>
      <c r="E45" s="18">
        <f>Reference!C355</f>
        <v>33.403799999999997</v>
      </c>
      <c r="F45" s="18">
        <f>Reference!D355</f>
        <v>39.091999999999999</v>
      </c>
      <c r="G45" s="18">
        <f>Reference!E355</f>
        <v>41.724600000000002</v>
      </c>
      <c r="H45" s="18">
        <f>Reference!F355</f>
        <v>13578.299000000001</v>
      </c>
      <c r="I45" s="18">
        <f>Reference!G355</f>
        <v>0</v>
      </c>
      <c r="J45" s="19">
        <f t="shared" si="3"/>
        <v>3.7717497222222223</v>
      </c>
      <c r="L45" s="17">
        <f>Test!B355</f>
        <v>0</v>
      </c>
      <c r="M45" s="18">
        <f>Test!C355</f>
        <v>0</v>
      </c>
      <c r="N45" s="18">
        <f>Test!D355</f>
        <v>0</v>
      </c>
      <c r="O45" s="18">
        <f>Test!E355</f>
        <v>0</v>
      </c>
      <c r="P45" s="18">
        <f>Test!F355</f>
        <v>0</v>
      </c>
      <c r="Q45" s="18">
        <f>Test!G355</f>
        <v>0</v>
      </c>
      <c r="R45" s="19">
        <f t="shared" si="1"/>
        <v>0</v>
      </c>
      <c r="S45" s="18">
        <f t="shared" si="2"/>
        <v>0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Reference!B356</f>
        <v>844.7</v>
      </c>
      <c r="E46" s="23">
        <f>Reference!C356</f>
        <v>31.2559</v>
      </c>
      <c r="F46" s="23">
        <f>Reference!D356</f>
        <v>38.212499999999999</v>
      </c>
      <c r="G46" s="23">
        <f>Reference!E356</f>
        <v>40.905299999999997</v>
      </c>
      <c r="H46" s="23">
        <f>Reference!F356</f>
        <v>12031.638000000001</v>
      </c>
      <c r="I46" s="23">
        <f>Reference!G356</f>
        <v>0</v>
      </c>
      <c r="J46" s="24">
        <f t="shared" si="3"/>
        <v>3.3421216666666669</v>
      </c>
      <c r="L46" s="22">
        <f>Test!B356</f>
        <v>0</v>
      </c>
      <c r="M46" s="23">
        <f>Test!C356</f>
        <v>0</v>
      </c>
      <c r="N46" s="23">
        <f>Test!D356</f>
        <v>0</v>
      </c>
      <c r="O46" s="23">
        <f>Test!E356</f>
        <v>0</v>
      </c>
      <c r="P46" s="23">
        <f>Test!F356</f>
        <v>0</v>
      </c>
      <c r="Q46" s="23">
        <f>Test!G356</f>
        <v>0</v>
      </c>
      <c r="R46" s="24">
        <f t="shared" si="1"/>
        <v>0</v>
      </c>
      <c r="S46" s="18">
        <f t="shared" si="2"/>
        <v>0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Reference!B357</f>
        <v>0</v>
      </c>
      <c r="E47" s="13">
        <f>Reference!C357</f>
        <v>0</v>
      </c>
      <c r="F47" s="13">
        <f>Reference!D357</f>
        <v>0</v>
      </c>
      <c r="G47" s="13">
        <f>Reference!E357</f>
        <v>0</v>
      </c>
      <c r="H47" s="13">
        <f>Reference!F357</f>
        <v>0</v>
      </c>
      <c r="I47" s="13">
        <f>Reference!G357</f>
        <v>0</v>
      </c>
      <c r="J47" s="14">
        <f t="shared" si="3"/>
        <v>0</v>
      </c>
      <c r="L47" s="12">
        <f>Test!B357</f>
        <v>0</v>
      </c>
      <c r="M47" s="13">
        <f>Test!C357</f>
        <v>0</v>
      </c>
      <c r="N47" s="13">
        <f>Test!D357</f>
        <v>0</v>
      </c>
      <c r="O47" s="13">
        <f>Test!E357</f>
        <v>0</v>
      </c>
      <c r="P47" s="13">
        <f>Test!F357</f>
        <v>0</v>
      </c>
      <c r="Q47" s="13">
        <f>Test!G357</f>
        <v>0</v>
      </c>
      <c r="R47" s="14">
        <f t="shared" si="1"/>
        <v>0</v>
      </c>
      <c r="S47" s="13" t="e">
        <f t="shared" ref="S47:T70" si="4">P47/H47</f>
        <v>#DIV/0!</v>
      </c>
      <c r="T47" s="13" t="e">
        <f t="shared" si="4"/>
        <v>#DIV/0!</v>
      </c>
      <c r="U47" s="58"/>
      <c r="V47" s="41" t="e">
        <f>bdrate($D47:$D50,E47:E50,$L47:$L50,M47:M50)</f>
        <v>#VALUE!</v>
      </c>
      <c r="W47" s="46" t="e">
        <f>bdrate($D47:$D50,F47:F50,$L47:$L50,N47:N50)</f>
        <v>#VALUE!</v>
      </c>
      <c r="X47" s="47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 x14ac:dyDescent="0.2">
      <c r="A48" s="16" t="s">
        <v>46</v>
      </c>
      <c r="B48" s="16"/>
      <c r="C48" s="16">
        <v>27</v>
      </c>
      <c r="D48" s="17">
        <f>Reference!B358</f>
        <v>0</v>
      </c>
      <c r="E48" s="18">
        <f>Reference!C358</f>
        <v>0</v>
      </c>
      <c r="F48" s="18">
        <f>Reference!D358</f>
        <v>0</v>
      </c>
      <c r="G48" s="18">
        <f>Reference!E358</f>
        <v>0</v>
      </c>
      <c r="H48" s="18">
        <f>Reference!F358</f>
        <v>0</v>
      </c>
      <c r="I48" s="18">
        <f>Reference!G358</f>
        <v>0</v>
      </c>
      <c r="J48" s="19">
        <f t="shared" si="3"/>
        <v>0</v>
      </c>
      <c r="L48" s="17">
        <f>Test!B358</f>
        <v>0</v>
      </c>
      <c r="M48" s="18">
        <f>Test!C358</f>
        <v>0</v>
      </c>
      <c r="N48" s="18">
        <f>Test!D358</f>
        <v>0</v>
      </c>
      <c r="O48" s="18">
        <f>Test!E358</f>
        <v>0</v>
      </c>
      <c r="P48" s="18">
        <f>Test!F358</f>
        <v>0</v>
      </c>
      <c r="Q48" s="18">
        <f>Test!G358</f>
        <v>0</v>
      </c>
      <c r="R48" s="19">
        <f t="shared" si="1"/>
        <v>0</v>
      </c>
      <c r="S48" s="18" t="e">
        <f t="shared" si="4"/>
        <v>#DIV/0!</v>
      </c>
      <c r="T48" s="18" t="e">
        <f t="shared" si="4"/>
        <v>#DIV/0!</v>
      </c>
      <c r="U48" s="59"/>
      <c r="V48" s="42"/>
      <c r="W48" s="25"/>
      <c r="X48" s="54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Reference!B359</f>
        <v>0</v>
      </c>
      <c r="E49" s="18">
        <f>Reference!C359</f>
        <v>0</v>
      </c>
      <c r="F49" s="18">
        <f>Reference!D359</f>
        <v>0</v>
      </c>
      <c r="G49" s="18">
        <f>Reference!E359</f>
        <v>0</v>
      </c>
      <c r="H49" s="18">
        <f>Reference!F359</f>
        <v>0</v>
      </c>
      <c r="I49" s="18">
        <f>Reference!G359</f>
        <v>0</v>
      </c>
      <c r="J49" s="19">
        <f t="shared" si="3"/>
        <v>0</v>
      </c>
      <c r="L49" s="17">
        <f>Test!B359</f>
        <v>0</v>
      </c>
      <c r="M49" s="18">
        <f>Test!C359</f>
        <v>0</v>
      </c>
      <c r="N49" s="18">
        <f>Test!D359</f>
        <v>0</v>
      </c>
      <c r="O49" s="18">
        <f>Test!E359</f>
        <v>0</v>
      </c>
      <c r="P49" s="18">
        <f>Test!F359</f>
        <v>0</v>
      </c>
      <c r="Q49" s="18">
        <f>Test!G359</f>
        <v>0</v>
      </c>
      <c r="R49" s="19">
        <f t="shared" si="1"/>
        <v>0</v>
      </c>
      <c r="S49" s="18" t="e">
        <f t="shared" si="4"/>
        <v>#DIV/0!</v>
      </c>
      <c r="T49" s="18" t="e">
        <f t="shared" si="4"/>
        <v>#DIV/0!</v>
      </c>
      <c r="U49" s="59"/>
      <c r="V49" s="42"/>
      <c r="W49" s="25"/>
      <c r="X49" s="54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Reference!B360</f>
        <v>0</v>
      </c>
      <c r="E50" s="23">
        <f>Reference!C360</f>
        <v>0</v>
      </c>
      <c r="F50" s="23">
        <f>Reference!D360</f>
        <v>0</v>
      </c>
      <c r="G50" s="23">
        <f>Reference!E360</f>
        <v>0</v>
      </c>
      <c r="H50" s="23">
        <f>Reference!F360</f>
        <v>0</v>
      </c>
      <c r="I50" s="23">
        <f>Reference!G360</f>
        <v>0</v>
      </c>
      <c r="J50" s="24">
        <f t="shared" si="3"/>
        <v>0</v>
      </c>
      <c r="L50" s="22">
        <f>Test!B360</f>
        <v>0</v>
      </c>
      <c r="M50" s="23">
        <f>Test!C360</f>
        <v>0</v>
      </c>
      <c r="N50" s="23">
        <f>Test!D360</f>
        <v>0</v>
      </c>
      <c r="O50" s="23">
        <f>Test!E360</f>
        <v>0</v>
      </c>
      <c r="P50" s="23">
        <f>Test!F360</f>
        <v>0</v>
      </c>
      <c r="Q50" s="23">
        <f>Test!G360</f>
        <v>0</v>
      </c>
      <c r="R50" s="24">
        <f t="shared" si="1"/>
        <v>0</v>
      </c>
      <c r="S50" s="18" t="e">
        <f t="shared" si="4"/>
        <v>#DIV/0!</v>
      </c>
      <c r="T50" s="18" t="e">
        <f t="shared" si="4"/>
        <v>#DIV/0!</v>
      </c>
      <c r="U50" s="59"/>
      <c r="V50" s="43"/>
      <c r="W50" s="55"/>
      <c r="X50" s="56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Reference!B361</f>
        <v>0</v>
      </c>
      <c r="E51" s="13">
        <f>Reference!C361</f>
        <v>0</v>
      </c>
      <c r="F51" s="13">
        <f>Reference!D361</f>
        <v>0</v>
      </c>
      <c r="G51" s="13">
        <f>Reference!E361</f>
        <v>0</v>
      </c>
      <c r="H51" s="13">
        <f>Reference!F361</f>
        <v>0</v>
      </c>
      <c r="I51" s="13">
        <f>Reference!G361</f>
        <v>0</v>
      </c>
      <c r="J51" s="14">
        <f t="shared" si="3"/>
        <v>0</v>
      </c>
      <c r="L51" s="12">
        <f>Test!B361</f>
        <v>0</v>
      </c>
      <c r="M51" s="13">
        <f>Test!C361</f>
        <v>0</v>
      </c>
      <c r="N51" s="13">
        <f>Test!D361</f>
        <v>0</v>
      </c>
      <c r="O51" s="13">
        <f>Test!E361</f>
        <v>0</v>
      </c>
      <c r="P51" s="13">
        <f>Test!F361</f>
        <v>0</v>
      </c>
      <c r="Q51" s="13">
        <f>Test!G361</f>
        <v>0</v>
      </c>
      <c r="R51" s="14">
        <f t="shared" si="1"/>
        <v>0</v>
      </c>
      <c r="S51" s="18" t="e">
        <f t="shared" si="4"/>
        <v>#DIV/0!</v>
      </c>
      <c r="T51" s="18" t="e">
        <f t="shared" si="4"/>
        <v>#DIV/0!</v>
      </c>
      <c r="U51" s="59"/>
      <c r="V51" s="41" t="e">
        <f>bdrate($D51:$D54,E51:E54,$L51:$L54,M51:M54)</f>
        <v>#VALUE!</v>
      </c>
      <c r="W51" s="46" t="e">
        <f>bdrate($D51:$D54,F51:F54,$L51:$L54,N51:N54)</f>
        <v>#VALUE!</v>
      </c>
      <c r="X51" s="46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 x14ac:dyDescent="0.2">
      <c r="A52" s="16"/>
      <c r="B52" s="16"/>
      <c r="C52" s="16">
        <v>27</v>
      </c>
      <c r="D52" s="17">
        <f>Reference!B362</f>
        <v>0</v>
      </c>
      <c r="E52" s="18">
        <f>Reference!C362</f>
        <v>0</v>
      </c>
      <c r="F52" s="18">
        <f>Reference!D362</f>
        <v>0</v>
      </c>
      <c r="G52" s="18">
        <f>Reference!E362</f>
        <v>0</v>
      </c>
      <c r="H52" s="18">
        <f>Reference!F362</f>
        <v>0</v>
      </c>
      <c r="I52" s="18">
        <f>Reference!G362</f>
        <v>0</v>
      </c>
      <c r="J52" s="19">
        <f t="shared" si="3"/>
        <v>0</v>
      </c>
      <c r="L52" s="17">
        <f>Test!B362</f>
        <v>0</v>
      </c>
      <c r="M52" s="18">
        <f>Test!C362</f>
        <v>0</v>
      </c>
      <c r="N52" s="18">
        <f>Test!D362</f>
        <v>0</v>
      </c>
      <c r="O52" s="18">
        <f>Test!E362</f>
        <v>0</v>
      </c>
      <c r="P52" s="18">
        <f>Test!F362</f>
        <v>0</v>
      </c>
      <c r="Q52" s="18">
        <f>Test!G362</f>
        <v>0</v>
      </c>
      <c r="R52" s="19">
        <f t="shared" si="1"/>
        <v>0</v>
      </c>
      <c r="S52" s="18" t="e">
        <f t="shared" si="4"/>
        <v>#DIV/0!</v>
      </c>
      <c r="T52" s="18" t="e">
        <f t="shared" si="4"/>
        <v>#DIV/0!</v>
      </c>
      <c r="U52" s="59"/>
      <c r="V52" s="42"/>
      <c r="W52" s="25"/>
      <c r="X52" s="25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Reference!B363</f>
        <v>0</v>
      </c>
      <c r="E53" s="18">
        <f>Reference!C363</f>
        <v>0</v>
      </c>
      <c r="F53" s="18">
        <f>Reference!D363</f>
        <v>0</v>
      </c>
      <c r="G53" s="18">
        <f>Reference!E363</f>
        <v>0</v>
      </c>
      <c r="H53" s="18">
        <f>Reference!F363</f>
        <v>0</v>
      </c>
      <c r="I53" s="18">
        <f>Reference!G363</f>
        <v>0</v>
      </c>
      <c r="J53" s="19">
        <f t="shared" si="3"/>
        <v>0</v>
      </c>
      <c r="L53" s="17">
        <f>Test!B363</f>
        <v>0</v>
      </c>
      <c r="M53" s="18">
        <f>Test!C363</f>
        <v>0</v>
      </c>
      <c r="N53" s="18">
        <f>Test!D363</f>
        <v>0</v>
      </c>
      <c r="O53" s="18">
        <f>Test!E363</f>
        <v>0</v>
      </c>
      <c r="P53" s="18">
        <f>Test!F363</f>
        <v>0</v>
      </c>
      <c r="Q53" s="18">
        <f>Test!G363</f>
        <v>0</v>
      </c>
      <c r="R53" s="19">
        <f t="shared" si="1"/>
        <v>0</v>
      </c>
      <c r="S53" s="18" t="e">
        <f t="shared" si="4"/>
        <v>#DIV/0!</v>
      </c>
      <c r="T53" s="18" t="e">
        <f t="shared" si="4"/>
        <v>#DIV/0!</v>
      </c>
      <c r="U53" s="59"/>
      <c r="V53" s="42"/>
      <c r="W53" s="25"/>
      <c r="X53" s="25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Reference!B364</f>
        <v>0</v>
      </c>
      <c r="E54" s="23">
        <f>Reference!C364</f>
        <v>0</v>
      </c>
      <c r="F54" s="23">
        <f>Reference!D364</f>
        <v>0</v>
      </c>
      <c r="G54" s="23">
        <f>Reference!E364</f>
        <v>0</v>
      </c>
      <c r="H54" s="23">
        <f>Reference!F364</f>
        <v>0</v>
      </c>
      <c r="I54" s="23">
        <f>Reference!G364</f>
        <v>0</v>
      </c>
      <c r="J54" s="24">
        <f t="shared" si="3"/>
        <v>0</v>
      </c>
      <c r="L54" s="22">
        <f>Test!B364</f>
        <v>0</v>
      </c>
      <c r="M54" s="23">
        <f>Test!C364</f>
        <v>0</v>
      </c>
      <c r="N54" s="23">
        <f>Test!D364</f>
        <v>0</v>
      </c>
      <c r="O54" s="23">
        <f>Test!E364</f>
        <v>0</v>
      </c>
      <c r="P54" s="23">
        <f>Test!F364</f>
        <v>0</v>
      </c>
      <c r="Q54" s="23">
        <f>Test!G364</f>
        <v>0</v>
      </c>
      <c r="R54" s="24">
        <f t="shared" si="1"/>
        <v>0</v>
      </c>
      <c r="S54" s="18" t="e">
        <f t="shared" si="4"/>
        <v>#DIV/0!</v>
      </c>
      <c r="T54" s="18" t="e">
        <f t="shared" si="4"/>
        <v>#DIV/0!</v>
      </c>
      <c r="U54" s="59"/>
      <c r="V54" s="43"/>
      <c r="W54" s="55"/>
      <c r="X54" s="55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Reference!B365</f>
        <v>0</v>
      </c>
      <c r="E55" s="13">
        <f>Reference!C365</f>
        <v>0</v>
      </c>
      <c r="F55" s="13">
        <f>Reference!D365</f>
        <v>0</v>
      </c>
      <c r="G55" s="13">
        <f>Reference!E365</f>
        <v>0</v>
      </c>
      <c r="H55" s="13">
        <f>Reference!F365</f>
        <v>0</v>
      </c>
      <c r="I55" s="13">
        <f>Reference!G365</f>
        <v>0</v>
      </c>
      <c r="J55" s="14">
        <f t="shared" si="3"/>
        <v>0</v>
      </c>
      <c r="L55" s="12">
        <f>Test!B365</f>
        <v>0</v>
      </c>
      <c r="M55" s="13">
        <f>Test!C365</f>
        <v>0</v>
      </c>
      <c r="N55" s="13">
        <f>Test!D365</f>
        <v>0</v>
      </c>
      <c r="O55" s="13">
        <f>Test!E365</f>
        <v>0</v>
      </c>
      <c r="P55" s="13">
        <f>Test!F365</f>
        <v>0</v>
      </c>
      <c r="Q55" s="13">
        <f>Test!G365</f>
        <v>0</v>
      </c>
      <c r="R55" s="14">
        <f t="shared" si="1"/>
        <v>0</v>
      </c>
      <c r="S55" s="18" t="e">
        <f t="shared" si="4"/>
        <v>#DIV/0!</v>
      </c>
      <c r="T55" s="18" t="e">
        <f t="shared" si="4"/>
        <v>#DIV/0!</v>
      </c>
      <c r="U55" s="59"/>
      <c r="V55" s="41" t="e">
        <f>bdrate($D55:$D58,E55:E58,$L55:$L58,M55:M58)</f>
        <v>#VALUE!</v>
      </c>
      <c r="W55" s="46" t="e">
        <f>bdrate($D55:$D58,F55:F58,$L55:$L58,N55:N58)</f>
        <v>#VALUE!</v>
      </c>
      <c r="X55" s="46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 x14ac:dyDescent="0.2">
      <c r="A56" s="16"/>
      <c r="B56" s="16"/>
      <c r="C56" s="16">
        <v>27</v>
      </c>
      <c r="D56" s="17">
        <f>Reference!B366</f>
        <v>0</v>
      </c>
      <c r="E56" s="18">
        <f>Reference!C366</f>
        <v>0</v>
      </c>
      <c r="F56" s="18">
        <f>Reference!D366</f>
        <v>0</v>
      </c>
      <c r="G56" s="18">
        <f>Reference!E366</f>
        <v>0</v>
      </c>
      <c r="H56" s="18">
        <f>Reference!F366</f>
        <v>0</v>
      </c>
      <c r="I56" s="18">
        <f>Reference!G366</f>
        <v>0</v>
      </c>
      <c r="J56" s="19">
        <f t="shared" si="3"/>
        <v>0</v>
      </c>
      <c r="L56" s="17">
        <f>Test!B366</f>
        <v>0</v>
      </c>
      <c r="M56" s="18">
        <f>Test!C366</f>
        <v>0</v>
      </c>
      <c r="N56" s="18">
        <f>Test!D366</f>
        <v>0</v>
      </c>
      <c r="O56" s="18">
        <f>Test!E366</f>
        <v>0</v>
      </c>
      <c r="P56" s="18">
        <f>Test!F366</f>
        <v>0</v>
      </c>
      <c r="Q56" s="18">
        <f>Test!G366</f>
        <v>0</v>
      </c>
      <c r="R56" s="19">
        <f t="shared" si="1"/>
        <v>0</v>
      </c>
      <c r="S56" s="18" t="e">
        <f t="shared" si="4"/>
        <v>#DIV/0!</v>
      </c>
      <c r="T56" s="18" t="e">
        <f t="shared" si="4"/>
        <v>#DIV/0!</v>
      </c>
      <c r="U56" s="59"/>
      <c r="V56" s="42"/>
      <c r="W56" s="25"/>
      <c r="X56" s="25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Reference!B367</f>
        <v>0</v>
      </c>
      <c r="E57" s="18">
        <f>Reference!C367</f>
        <v>0</v>
      </c>
      <c r="F57" s="18">
        <f>Reference!D367</f>
        <v>0</v>
      </c>
      <c r="G57" s="18">
        <f>Reference!E367</f>
        <v>0</v>
      </c>
      <c r="H57" s="18">
        <f>Reference!F367</f>
        <v>0</v>
      </c>
      <c r="I57" s="18">
        <f>Reference!G367</f>
        <v>0</v>
      </c>
      <c r="J57" s="19">
        <f t="shared" si="3"/>
        <v>0</v>
      </c>
      <c r="L57" s="17">
        <f>Test!B367</f>
        <v>0</v>
      </c>
      <c r="M57" s="18">
        <f>Test!C367</f>
        <v>0</v>
      </c>
      <c r="N57" s="18">
        <f>Test!D367</f>
        <v>0</v>
      </c>
      <c r="O57" s="18">
        <f>Test!E367</f>
        <v>0</v>
      </c>
      <c r="P57" s="18">
        <f>Test!F367</f>
        <v>0</v>
      </c>
      <c r="Q57" s="18">
        <f>Test!G367</f>
        <v>0</v>
      </c>
      <c r="R57" s="19">
        <f t="shared" si="1"/>
        <v>0</v>
      </c>
      <c r="S57" s="18" t="e">
        <f t="shared" si="4"/>
        <v>#DIV/0!</v>
      </c>
      <c r="T57" s="18" t="e">
        <f t="shared" si="4"/>
        <v>#DIV/0!</v>
      </c>
      <c r="U57" s="59"/>
      <c r="V57" s="42"/>
      <c r="W57" s="25"/>
      <c r="X57" s="25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Reference!B368</f>
        <v>0</v>
      </c>
      <c r="E58" s="23">
        <f>Reference!C368</f>
        <v>0</v>
      </c>
      <c r="F58" s="23">
        <f>Reference!D368</f>
        <v>0</v>
      </c>
      <c r="G58" s="23">
        <f>Reference!E368</f>
        <v>0</v>
      </c>
      <c r="H58" s="23">
        <f>Reference!F368</f>
        <v>0</v>
      </c>
      <c r="I58" s="23">
        <f>Reference!G368</f>
        <v>0</v>
      </c>
      <c r="J58" s="24">
        <f t="shared" si="3"/>
        <v>0</v>
      </c>
      <c r="L58" s="22">
        <f>Test!B368</f>
        <v>0</v>
      </c>
      <c r="M58" s="23">
        <f>Test!C368</f>
        <v>0</v>
      </c>
      <c r="N58" s="23">
        <f>Test!D368</f>
        <v>0</v>
      </c>
      <c r="O58" s="23">
        <f>Test!E368</f>
        <v>0</v>
      </c>
      <c r="P58" s="23">
        <f>Test!F368</f>
        <v>0</v>
      </c>
      <c r="Q58" s="23">
        <f>Test!G368</f>
        <v>0</v>
      </c>
      <c r="R58" s="24">
        <f t="shared" si="1"/>
        <v>0</v>
      </c>
      <c r="S58" s="18" t="e">
        <f t="shared" si="4"/>
        <v>#DIV/0!</v>
      </c>
      <c r="T58" s="18" t="e">
        <f t="shared" si="4"/>
        <v>#DIV/0!</v>
      </c>
      <c r="U58" s="59"/>
      <c r="V58" s="43"/>
      <c r="W58" s="55"/>
      <c r="X58" s="55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Reference!B369</f>
        <v>0</v>
      </c>
      <c r="E59" s="13">
        <f>Reference!C369</f>
        <v>0</v>
      </c>
      <c r="F59" s="13">
        <f>Reference!D369</f>
        <v>0</v>
      </c>
      <c r="G59" s="13">
        <f>Reference!E369</f>
        <v>0</v>
      </c>
      <c r="H59" s="13">
        <f>Reference!F369</f>
        <v>0</v>
      </c>
      <c r="I59" s="13">
        <f>Reference!G369</f>
        <v>0</v>
      </c>
      <c r="J59" s="14">
        <f t="shared" si="3"/>
        <v>0</v>
      </c>
      <c r="L59" s="12">
        <f>Test!B369</f>
        <v>0</v>
      </c>
      <c r="M59" s="13">
        <f>Test!C369</f>
        <v>0</v>
      </c>
      <c r="N59" s="13">
        <f>Test!D369</f>
        <v>0</v>
      </c>
      <c r="O59" s="13">
        <f>Test!E369</f>
        <v>0</v>
      </c>
      <c r="P59" s="13">
        <f>Test!F369</f>
        <v>0</v>
      </c>
      <c r="Q59" s="13">
        <f>Test!G369</f>
        <v>0</v>
      </c>
      <c r="R59" s="14">
        <f t="shared" si="1"/>
        <v>0</v>
      </c>
      <c r="S59" s="18" t="e">
        <f t="shared" si="4"/>
        <v>#DIV/0!</v>
      </c>
      <c r="T59" s="18" t="e">
        <f t="shared" si="4"/>
        <v>#DIV/0!</v>
      </c>
      <c r="U59" s="59"/>
      <c r="V59" s="41" t="e">
        <f>bdrate($D59:$D62,E59:E62,$L59:$L62,M59:M62)</f>
        <v>#VALUE!</v>
      </c>
      <c r="W59" s="46" t="e">
        <f>bdrate($D59:$D62,F59:F62,$L59:$L62,N59:N62)</f>
        <v>#VALUE!</v>
      </c>
      <c r="X59" s="46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 x14ac:dyDescent="0.2">
      <c r="A60" s="16"/>
      <c r="B60" s="16"/>
      <c r="C60" s="16">
        <v>27</v>
      </c>
      <c r="D60" s="17">
        <f>Reference!B370</f>
        <v>0</v>
      </c>
      <c r="E60" s="18">
        <f>Reference!C370</f>
        <v>0</v>
      </c>
      <c r="F60" s="18">
        <f>Reference!D370</f>
        <v>0</v>
      </c>
      <c r="G60" s="18">
        <f>Reference!E370</f>
        <v>0</v>
      </c>
      <c r="H60" s="18">
        <f>Reference!F370</f>
        <v>0</v>
      </c>
      <c r="I60" s="18">
        <f>Reference!G370</f>
        <v>0</v>
      </c>
      <c r="J60" s="19">
        <f t="shared" si="3"/>
        <v>0</v>
      </c>
      <c r="L60" s="17">
        <f>Test!B370</f>
        <v>0</v>
      </c>
      <c r="M60" s="18">
        <f>Test!C370</f>
        <v>0</v>
      </c>
      <c r="N60" s="18">
        <f>Test!D370</f>
        <v>0</v>
      </c>
      <c r="O60" s="18">
        <f>Test!E370</f>
        <v>0</v>
      </c>
      <c r="P60" s="18">
        <f>Test!F370</f>
        <v>0</v>
      </c>
      <c r="Q60" s="18">
        <f>Test!G370</f>
        <v>0</v>
      </c>
      <c r="R60" s="19">
        <f t="shared" si="1"/>
        <v>0</v>
      </c>
      <c r="S60" s="18" t="e">
        <f t="shared" si="4"/>
        <v>#DIV/0!</v>
      </c>
      <c r="T60" s="18" t="e">
        <f t="shared" si="4"/>
        <v>#DIV/0!</v>
      </c>
      <c r="U60" s="59"/>
      <c r="V60" s="42"/>
      <c r="W60" s="25"/>
      <c r="X60" s="25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Reference!B371</f>
        <v>0</v>
      </c>
      <c r="E61" s="18">
        <f>Reference!C371</f>
        <v>0</v>
      </c>
      <c r="F61" s="18">
        <f>Reference!D371</f>
        <v>0</v>
      </c>
      <c r="G61" s="18">
        <f>Reference!E371</f>
        <v>0</v>
      </c>
      <c r="H61" s="18">
        <f>Reference!F371</f>
        <v>0</v>
      </c>
      <c r="I61" s="18">
        <f>Reference!G371</f>
        <v>0</v>
      </c>
      <c r="J61" s="19">
        <f t="shared" si="3"/>
        <v>0</v>
      </c>
      <c r="L61" s="17">
        <f>Test!B371</f>
        <v>0</v>
      </c>
      <c r="M61" s="18">
        <f>Test!C371</f>
        <v>0</v>
      </c>
      <c r="N61" s="18">
        <f>Test!D371</f>
        <v>0</v>
      </c>
      <c r="O61" s="18">
        <f>Test!E371</f>
        <v>0</v>
      </c>
      <c r="P61" s="18">
        <f>Test!F371</f>
        <v>0</v>
      </c>
      <c r="Q61" s="18">
        <f>Test!G371</f>
        <v>0</v>
      </c>
      <c r="R61" s="19">
        <f t="shared" si="1"/>
        <v>0</v>
      </c>
      <c r="S61" s="18" t="e">
        <f t="shared" si="4"/>
        <v>#DIV/0!</v>
      </c>
      <c r="T61" s="18" t="e">
        <f t="shared" si="4"/>
        <v>#DIV/0!</v>
      </c>
      <c r="U61" s="59"/>
      <c r="V61" s="42"/>
      <c r="W61" s="25"/>
      <c r="X61" s="25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Reference!B372</f>
        <v>0</v>
      </c>
      <c r="E62" s="23">
        <f>Reference!C372</f>
        <v>0</v>
      </c>
      <c r="F62" s="23">
        <f>Reference!D372</f>
        <v>0</v>
      </c>
      <c r="G62" s="23">
        <f>Reference!E372</f>
        <v>0</v>
      </c>
      <c r="H62" s="23">
        <f>Reference!F372</f>
        <v>0</v>
      </c>
      <c r="I62" s="23">
        <f>Reference!G372</f>
        <v>0</v>
      </c>
      <c r="J62" s="24">
        <f t="shared" si="3"/>
        <v>0</v>
      </c>
      <c r="L62" s="22">
        <f>Test!B372</f>
        <v>0</v>
      </c>
      <c r="M62" s="23">
        <f>Test!C372</f>
        <v>0</v>
      </c>
      <c r="N62" s="23">
        <f>Test!D372</f>
        <v>0</v>
      </c>
      <c r="O62" s="23">
        <f>Test!E372</f>
        <v>0</v>
      </c>
      <c r="P62" s="23">
        <f>Test!F372</f>
        <v>0</v>
      </c>
      <c r="Q62" s="23">
        <f>Test!G372</f>
        <v>0</v>
      </c>
      <c r="R62" s="24">
        <f t="shared" si="1"/>
        <v>0</v>
      </c>
      <c r="S62" s="23" t="e">
        <f t="shared" si="4"/>
        <v>#DIV/0!</v>
      </c>
      <c r="T62" s="23" t="e">
        <f t="shared" si="4"/>
        <v>#DIV/0!</v>
      </c>
      <c r="U62" s="60"/>
      <c r="V62" s="43"/>
      <c r="W62" s="55"/>
      <c r="X62" s="55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Reference!B373</f>
        <v>0</v>
      </c>
      <c r="E63" s="13">
        <f>Reference!C373</f>
        <v>0</v>
      </c>
      <c r="F63" s="13">
        <f>Reference!D373</f>
        <v>0</v>
      </c>
      <c r="G63" s="13">
        <f>Reference!E373</f>
        <v>0</v>
      </c>
      <c r="H63" s="13">
        <f>Reference!F373</f>
        <v>0</v>
      </c>
      <c r="I63" s="13">
        <f>Reference!G373</f>
        <v>0</v>
      </c>
      <c r="J63" s="14">
        <f t="shared" si="3"/>
        <v>0</v>
      </c>
      <c r="L63" s="12">
        <f>Test!B373</f>
        <v>0</v>
      </c>
      <c r="M63" s="13">
        <f>Test!C373</f>
        <v>0</v>
      </c>
      <c r="N63" s="13">
        <f>Test!D373</f>
        <v>0</v>
      </c>
      <c r="O63" s="13">
        <f>Test!E373</f>
        <v>0</v>
      </c>
      <c r="P63" s="13">
        <f>Test!F373</f>
        <v>0</v>
      </c>
      <c r="Q63" s="13">
        <f>Test!G373</f>
        <v>0</v>
      </c>
      <c r="R63" s="14">
        <f t="shared" si="1"/>
        <v>0</v>
      </c>
      <c r="S63" s="13" t="e">
        <f>P63/H63</f>
        <v>#DIV/0!</v>
      </c>
      <c r="T63" s="13" t="e">
        <f t="shared" si="4"/>
        <v>#DIV/0!</v>
      </c>
      <c r="U63" s="58"/>
      <c r="V63" s="41" t="e">
        <f>bdrate($D63:$D66,E63:E66,$L63:$L66,M63:M66)</f>
        <v>#VALUE!</v>
      </c>
      <c r="W63" s="46" t="e">
        <f>bdrate($D63:$D66,F63:F66,$L63:$L66,N63:N66)</f>
        <v>#VALUE!</v>
      </c>
      <c r="X63" s="47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Reference!B374</f>
        <v>0</v>
      </c>
      <c r="E64" s="18">
        <f>Reference!C374</f>
        <v>0</v>
      </c>
      <c r="F64" s="18">
        <f>Reference!D374</f>
        <v>0</v>
      </c>
      <c r="G64" s="18">
        <f>Reference!E374</f>
        <v>0</v>
      </c>
      <c r="H64" s="18">
        <f>Reference!F374</f>
        <v>0</v>
      </c>
      <c r="I64" s="18">
        <f>Reference!G374</f>
        <v>0</v>
      </c>
      <c r="J64" s="19">
        <f t="shared" si="3"/>
        <v>0</v>
      </c>
      <c r="L64" s="17">
        <f>Test!B374</f>
        <v>0</v>
      </c>
      <c r="M64" s="18">
        <f>Test!C374</f>
        <v>0</v>
      </c>
      <c r="N64" s="18">
        <f>Test!D374</f>
        <v>0</v>
      </c>
      <c r="O64" s="18">
        <f>Test!E374</f>
        <v>0</v>
      </c>
      <c r="P64" s="18">
        <f>Test!F374</f>
        <v>0</v>
      </c>
      <c r="Q64" s="18">
        <f>Test!G374</f>
        <v>0</v>
      </c>
      <c r="R64" s="19">
        <f t="shared" si="1"/>
        <v>0</v>
      </c>
      <c r="S64" s="18" t="e">
        <f>P64/H64</f>
        <v>#DIV/0!</v>
      </c>
      <c r="T64" s="18" t="e">
        <f t="shared" si="4"/>
        <v>#DIV/0!</v>
      </c>
      <c r="U64" s="59"/>
      <c r="V64" s="42"/>
      <c r="W64" s="25"/>
      <c r="X64" s="54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Reference!B375</f>
        <v>0</v>
      </c>
      <c r="E65" s="18">
        <f>Reference!C375</f>
        <v>0</v>
      </c>
      <c r="F65" s="18">
        <f>Reference!D375</f>
        <v>0</v>
      </c>
      <c r="G65" s="18">
        <f>Reference!E375</f>
        <v>0</v>
      </c>
      <c r="H65" s="18">
        <f>Reference!F375</f>
        <v>0</v>
      </c>
      <c r="I65" s="18">
        <f>Reference!G375</f>
        <v>0</v>
      </c>
      <c r="J65" s="19">
        <f t="shared" si="3"/>
        <v>0</v>
      </c>
      <c r="L65" s="17">
        <f>Test!B375</f>
        <v>0</v>
      </c>
      <c r="M65" s="18">
        <f>Test!C375</f>
        <v>0</v>
      </c>
      <c r="N65" s="18">
        <f>Test!D375</f>
        <v>0</v>
      </c>
      <c r="O65" s="18">
        <f>Test!E375</f>
        <v>0</v>
      </c>
      <c r="P65" s="18">
        <f>Test!F375</f>
        <v>0</v>
      </c>
      <c r="Q65" s="18">
        <f>Test!G375</f>
        <v>0</v>
      </c>
      <c r="R65" s="19">
        <f t="shared" si="1"/>
        <v>0</v>
      </c>
      <c r="S65" s="18" t="e">
        <f>P65/H65</f>
        <v>#DIV/0!</v>
      </c>
      <c r="T65" s="18" t="e">
        <f t="shared" si="4"/>
        <v>#DIV/0!</v>
      </c>
      <c r="U65" s="59"/>
      <c r="V65" s="42"/>
      <c r="W65" s="25"/>
      <c r="X65" s="54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Reference!B376</f>
        <v>0</v>
      </c>
      <c r="E66" s="23">
        <f>Reference!C376</f>
        <v>0</v>
      </c>
      <c r="F66" s="23">
        <f>Reference!D376</f>
        <v>0</v>
      </c>
      <c r="G66" s="23">
        <f>Reference!E376</f>
        <v>0</v>
      </c>
      <c r="H66" s="23">
        <f>Reference!F376</f>
        <v>0</v>
      </c>
      <c r="I66" s="23">
        <f>Reference!G376</f>
        <v>0</v>
      </c>
      <c r="J66" s="24">
        <f t="shared" si="3"/>
        <v>0</v>
      </c>
      <c r="L66" s="22">
        <f>Test!B376</f>
        <v>0</v>
      </c>
      <c r="M66" s="23">
        <f>Test!C376</f>
        <v>0</v>
      </c>
      <c r="N66" s="23">
        <f>Test!D376</f>
        <v>0</v>
      </c>
      <c r="O66" s="23">
        <f>Test!E376</f>
        <v>0</v>
      </c>
      <c r="P66" s="23">
        <f>Test!F376</f>
        <v>0</v>
      </c>
      <c r="Q66" s="23">
        <f>Test!G376</f>
        <v>0</v>
      </c>
      <c r="R66" s="24">
        <f t="shared" si="1"/>
        <v>0</v>
      </c>
      <c r="S66" s="18" t="e">
        <f>P66/H66</f>
        <v>#DIV/0!</v>
      </c>
      <c r="T66" s="18" t="e">
        <f t="shared" si="4"/>
        <v>#DIV/0!</v>
      </c>
      <c r="U66" s="59"/>
      <c r="V66" s="43"/>
      <c r="W66" s="55"/>
      <c r="X66" s="56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Reference!B377</f>
        <v>0</v>
      </c>
      <c r="E67" s="13">
        <f>Reference!C377</f>
        <v>0</v>
      </c>
      <c r="F67" s="13">
        <f>Reference!D377</f>
        <v>0</v>
      </c>
      <c r="G67" s="13">
        <f>Reference!E377</f>
        <v>0</v>
      </c>
      <c r="H67" s="13">
        <f>Reference!F377</f>
        <v>0</v>
      </c>
      <c r="I67" s="13">
        <f>Reference!G377</f>
        <v>0</v>
      </c>
      <c r="J67" s="14">
        <f t="shared" si="3"/>
        <v>0</v>
      </c>
      <c r="L67" s="12">
        <f>Test!B377</f>
        <v>0</v>
      </c>
      <c r="M67" s="13">
        <f>Test!C377</f>
        <v>0</v>
      </c>
      <c r="N67" s="13">
        <f>Test!D377</f>
        <v>0</v>
      </c>
      <c r="O67" s="13">
        <f>Test!E377</f>
        <v>0</v>
      </c>
      <c r="P67" s="13">
        <f>Test!F377</f>
        <v>0</v>
      </c>
      <c r="Q67" s="13">
        <f>Test!G377</f>
        <v>0</v>
      </c>
      <c r="R67" s="14">
        <f t="shared" si="1"/>
        <v>0</v>
      </c>
      <c r="S67" s="18" t="e">
        <f t="shared" si="4"/>
        <v>#DIV/0!</v>
      </c>
      <c r="T67" s="18" t="e">
        <f t="shared" si="4"/>
        <v>#DIV/0!</v>
      </c>
      <c r="U67" s="59"/>
      <c r="V67" s="41" t="e">
        <f>bdrate($D67:$D70,E67:E70,$L67:$L70,M67:M70)</f>
        <v>#VALUE!</v>
      </c>
      <c r="W67" s="46" t="e">
        <f>bdrate($D67:$D70,F67:F70,$L67:$L70,N67:N70)</f>
        <v>#VALUE!</v>
      </c>
      <c r="X67" s="46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 x14ac:dyDescent="0.2">
      <c r="A68" s="16"/>
      <c r="B68" s="16"/>
      <c r="C68" s="16">
        <v>27</v>
      </c>
      <c r="D68" s="17">
        <f>Reference!B378</f>
        <v>0</v>
      </c>
      <c r="E68" s="18">
        <f>Reference!C378</f>
        <v>0</v>
      </c>
      <c r="F68" s="18">
        <f>Reference!D378</f>
        <v>0</v>
      </c>
      <c r="G68" s="18">
        <f>Reference!E378</f>
        <v>0</v>
      </c>
      <c r="H68" s="18">
        <f>Reference!F378</f>
        <v>0</v>
      </c>
      <c r="I68" s="18">
        <f>Reference!G378</f>
        <v>0</v>
      </c>
      <c r="J68" s="19">
        <f t="shared" si="3"/>
        <v>0</v>
      </c>
      <c r="L68" s="17">
        <f>Test!B378</f>
        <v>0</v>
      </c>
      <c r="M68" s="18">
        <f>Test!C378</f>
        <v>0</v>
      </c>
      <c r="N68" s="18">
        <f>Test!D378</f>
        <v>0</v>
      </c>
      <c r="O68" s="18">
        <f>Test!E378</f>
        <v>0</v>
      </c>
      <c r="P68" s="18">
        <f>Test!F378</f>
        <v>0</v>
      </c>
      <c r="Q68" s="18">
        <f>Test!G378</f>
        <v>0</v>
      </c>
      <c r="R68" s="19">
        <f t="shared" si="1"/>
        <v>0</v>
      </c>
      <c r="S68" s="18" t="e">
        <f t="shared" si="4"/>
        <v>#DIV/0!</v>
      </c>
      <c r="T68" s="18" t="e">
        <f t="shared" si="4"/>
        <v>#DIV/0!</v>
      </c>
      <c r="U68" s="59"/>
      <c r="V68" s="42"/>
      <c r="W68" s="25"/>
      <c r="X68" s="25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Reference!B379</f>
        <v>0</v>
      </c>
      <c r="E69" s="18">
        <f>Reference!C379</f>
        <v>0</v>
      </c>
      <c r="F69" s="18">
        <f>Reference!D379</f>
        <v>0</v>
      </c>
      <c r="G69" s="18">
        <f>Reference!E379</f>
        <v>0</v>
      </c>
      <c r="H69" s="18">
        <f>Reference!F379</f>
        <v>0</v>
      </c>
      <c r="I69" s="18">
        <f>Reference!G379</f>
        <v>0</v>
      </c>
      <c r="J69" s="19">
        <f t="shared" si="3"/>
        <v>0</v>
      </c>
      <c r="L69" s="17">
        <f>Test!B379</f>
        <v>0</v>
      </c>
      <c r="M69" s="18">
        <f>Test!C379</f>
        <v>0</v>
      </c>
      <c r="N69" s="18">
        <f>Test!D379</f>
        <v>0</v>
      </c>
      <c r="O69" s="18">
        <f>Test!E379</f>
        <v>0</v>
      </c>
      <c r="P69" s="18">
        <f>Test!F379</f>
        <v>0</v>
      </c>
      <c r="Q69" s="18">
        <f>Test!G379</f>
        <v>0</v>
      </c>
      <c r="R69" s="19">
        <f t="shared" si="1"/>
        <v>0</v>
      </c>
      <c r="S69" s="18" t="e">
        <f t="shared" si="4"/>
        <v>#DIV/0!</v>
      </c>
      <c r="T69" s="18" t="e">
        <f t="shared" si="4"/>
        <v>#DIV/0!</v>
      </c>
      <c r="U69" s="59"/>
      <c r="V69" s="42"/>
      <c r="W69" s="25"/>
      <c r="X69" s="25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Reference!B380</f>
        <v>0</v>
      </c>
      <c r="E70" s="23">
        <f>Reference!C380</f>
        <v>0</v>
      </c>
      <c r="F70" s="23">
        <f>Reference!D380</f>
        <v>0</v>
      </c>
      <c r="G70" s="23">
        <f>Reference!E380</f>
        <v>0</v>
      </c>
      <c r="H70" s="23">
        <f>Reference!F380</f>
        <v>0</v>
      </c>
      <c r="I70" s="23">
        <f>Reference!G380</f>
        <v>0</v>
      </c>
      <c r="J70" s="24">
        <f t="shared" si="3"/>
        <v>0</v>
      </c>
      <c r="L70" s="22">
        <f>Test!B380</f>
        <v>0</v>
      </c>
      <c r="M70" s="23">
        <f>Test!C380</f>
        <v>0</v>
      </c>
      <c r="N70" s="23">
        <f>Test!D380</f>
        <v>0</v>
      </c>
      <c r="O70" s="23">
        <f>Test!E380</f>
        <v>0</v>
      </c>
      <c r="P70" s="23">
        <f>Test!F380</f>
        <v>0</v>
      </c>
      <c r="Q70" s="23">
        <f>Test!G380</f>
        <v>0</v>
      </c>
      <c r="R70" s="24">
        <f t="shared" si="1"/>
        <v>0</v>
      </c>
      <c r="S70" s="18" t="e">
        <f t="shared" si="4"/>
        <v>#DIV/0!</v>
      </c>
      <c r="T70" s="18" t="e">
        <f t="shared" si="4"/>
        <v>#DIV/0!</v>
      </c>
      <c r="U70" s="59"/>
      <c r="V70" s="43"/>
      <c r="W70" s="55"/>
      <c r="X70" s="55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Reference!B381</f>
        <v>0</v>
      </c>
      <c r="E71" s="13">
        <f>Reference!C381</f>
        <v>0</v>
      </c>
      <c r="F71" s="13">
        <f>Reference!D381</f>
        <v>0</v>
      </c>
      <c r="G71" s="13">
        <f>Reference!E381</f>
        <v>0</v>
      </c>
      <c r="H71" s="13">
        <f>Reference!F381</f>
        <v>0</v>
      </c>
      <c r="I71" s="13">
        <f>Reference!G381</f>
        <v>0</v>
      </c>
      <c r="J71" s="14">
        <f t="shared" si="3"/>
        <v>0</v>
      </c>
      <c r="L71" s="12">
        <f>Test!B381</f>
        <v>0</v>
      </c>
      <c r="M71" s="13">
        <f>Test!C381</f>
        <v>0</v>
      </c>
      <c r="N71" s="13">
        <f>Test!D381</f>
        <v>0</v>
      </c>
      <c r="O71" s="13">
        <f>Test!E381</f>
        <v>0</v>
      </c>
      <c r="P71" s="13">
        <f>Test!F381</f>
        <v>0</v>
      </c>
      <c r="Q71" s="13">
        <f>Test!G381</f>
        <v>0</v>
      </c>
      <c r="R71" s="14">
        <f t="shared" si="1"/>
        <v>0</v>
      </c>
      <c r="S71" s="18" t="e">
        <f t="shared" ref="S71:T86" si="5">P71/H71</f>
        <v>#DIV/0!</v>
      </c>
      <c r="T71" s="18" t="e">
        <f t="shared" si="5"/>
        <v>#DIV/0!</v>
      </c>
      <c r="U71" s="59"/>
      <c r="V71" s="41" t="e">
        <f>bdrate($D71:$D74,E71:E74,$L71:$L74,M71:M74)</f>
        <v>#VALUE!</v>
      </c>
      <c r="W71" s="46" t="e">
        <f>bdrate($D71:$D74,F71:F74,$L71:$L74,N71:N74)</f>
        <v>#VALUE!</v>
      </c>
      <c r="X71" s="46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 x14ac:dyDescent="0.2">
      <c r="A72" s="16"/>
      <c r="B72" s="16"/>
      <c r="C72" s="16">
        <v>27</v>
      </c>
      <c r="D72" s="17">
        <f>Reference!B382</f>
        <v>0</v>
      </c>
      <c r="E72" s="18">
        <f>Reference!C382</f>
        <v>0</v>
      </c>
      <c r="F72" s="18">
        <f>Reference!D382</f>
        <v>0</v>
      </c>
      <c r="G72" s="18">
        <f>Reference!E382</f>
        <v>0</v>
      </c>
      <c r="H72" s="18">
        <f>Reference!F382</f>
        <v>0</v>
      </c>
      <c r="I72" s="18">
        <f>Reference!G382</f>
        <v>0</v>
      </c>
      <c r="J72" s="19">
        <f t="shared" si="3"/>
        <v>0</v>
      </c>
      <c r="L72" s="17">
        <f>Test!B382</f>
        <v>0</v>
      </c>
      <c r="M72" s="18">
        <f>Test!C382</f>
        <v>0</v>
      </c>
      <c r="N72" s="18">
        <f>Test!D382</f>
        <v>0</v>
      </c>
      <c r="O72" s="18">
        <f>Test!E382</f>
        <v>0</v>
      </c>
      <c r="P72" s="18">
        <f>Test!F382</f>
        <v>0</v>
      </c>
      <c r="Q72" s="18">
        <f>Test!G382</f>
        <v>0</v>
      </c>
      <c r="R72" s="19">
        <f t="shared" si="1"/>
        <v>0</v>
      </c>
      <c r="S72" s="18" t="e">
        <f t="shared" si="5"/>
        <v>#DIV/0!</v>
      </c>
      <c r="T72" s="18" t="e">
        <f t="shared" si="5"/>
        <v>#DIV/0!</v>
      </c>
      <c r="U72" s="59"/>
      <c r="V72" s="42"/>
      <c r="W72" s="25"/>
      <c r="X72" s="25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Reference!B383</f>
        <v>0</v>
      </c>
      <c r="E73" s="18">
        <f>Reference!C383</f>
        <v>0</v>
      </c>
      <c r="F73" s="18">
        <f>Reference!D383</f>
        <v>0</v>
      </c>
      <c r="G73" s="18">
        <f>Reference!E383</f>
        <v>0</v>
      </c>
      <c r="H73" s="18">
        <f>Reference!F383</f>
        <v>0</v>
      </c>
      <c r="I73" s="18">
        <f>Reference!G383</f>
        <v>0</v>
      </c>
      <c r="J73" s="19">
        <f t="shared" si="3"/>
        <v>0</v>
      </c>
      <c r="L73" s="17">
        <f>Test!B383</f>
        <v>0</v>
      </c>
      <c r="M73" s="18">
        <f>Test!C383</f>
        <v>0</v>
      </c>
      <c r="N73" s="18">
        <f>Test!D383</f>
        <v>0</v>
      </c>
      <c r="O73" s="18">
        <f>Test!E383</f>
        <v>0</v>
      </c>
      <c r="P73" s="18">
        <f>Test!F383</f>
        <v>0</v>
      </c>
      <c r="Q73" s="18">
        <f>Test!G383</f>
        <v>0</v>
      </c>
      <c r="R73" s="19">
        <f t="shared" si="1"/>
        <v>0</v>
      </c>
      <c r="S73" s="18" t="e">
        <f t="shared" si="5"/>
        <v>#DIV/0!</v>
      </c>
      <c r="T73" s="18" t="e">
        <f t="shared" si="5"/>
        <v>#DIV/0!</v>
      </c>
      <c r="U73" s="59"/>
      <c r="V73" s="42"/>
      <c r="W73" s="25"/>
      <c r="X73" s="25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Reference!B384</f>
        <v>0</v>
      </c>
      <c r="E74" s="23">
        <f>Reference!C384</f>
        <v>0</v>
      </c>
      <c r="F74" s="23">
        <f>Reference!D384</f>
        <v>0</v>
      </c>
      <c r="G74" s="23">
        <f>Reference!E384</f>
        <v>0</v>
      </c>
      <c r="H74" s="23">
        <f>Reference!F384</f>
        <v>0</v>
      </c>
      <c r="I74" s="23">
        <f>Reference!G384</f>
        <v>0</v>
      </c>
      <c r="J74" s="24">
        <f t="shared" si="3"/>
        <v>0</v>
      </c>
      <c r="L74" s="22">
        <f>Test!B384</f>
        <v>0</v>
      </c>
      <c r="M74" s="23">
        <f>Test!C384</f>
        <v>0</v>
      </c>
      <c r="N74" s="23">
        <f>Test!D384</f>
        <v>0</v>
      </c>
      <c r="O74" s="23">
        <f>Test!E384</f>
        <v>0</v>
      </c>
      <c r="P74" s="23">
        <f>Test!F384</f>
        <v>0</v>
      </c>
      <c r="Q74" s="23">
        <f>Test!G384</f>
        <v>0</v>
      </c>
      <c r="R74" s="24">
        <f t="shared" si="1"/>
        <v>0</v>
      </c>
      <c r="S74" s="18" t="e">
        <f t="shared" si="5"/>
        <v>#DIV/0!</v>
      </c>
      <c r="T74" s="18" t="e">
        <f t="shared" si="5"/>
        <v>#DIV/0!</v>
      </c>
      <c r="U74" s="59"/>
      <c r="V74" s="43"/>
      <c r="W74" s="55"/>
      <c r="X74" s="55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Reference!B385</f>
        <v>0</v>
      </c>
      <c r="E75" s="13">
        <f>Reference!C385</f>
        <v>0</v>
      </c>
      <c r="F75" s="13">
        <f>Reference!D385</f>
        <v>0</v>
      </c>
      <c r="G75" s="13">
        <f>Reference!E385</f>
        <v>0</v>
      </c>
      <c r="H75" s="13">
        <f>Reference!F385</f>
        <v>0</v>
      </c>
      <c r="I75" s="13">
        <f>Reference!G385</f>
        <v>0</v>
      </c>
      <c r="J75" s="14">
        <f t="shared" si="3"/>
        <v>0</v>
      </c>
      <c r="L75" s="12">
        <f>Test!B385</f>
        <v>0</v>
      </c>
      <c r="M75" s="13">
        <f>Test!C385</f>
        <v>0</v>
      </c>
      <c r="N75" s="13">
        <f>Test!D385</f>
        <v>0</v>
      </c>
      <c r="O75" s="13">
        <f>Test!E385</f>
        <v>0</v>
      </c>
      <c r="P75" s="13">
        <f>Test!F385</f>
        <v>0</v>
      </c>
      <c r="Q75" s="13">
        <f>Test!G385</f>
        <v>0</v>
      </c>
      <c r="R75" s="14">
        <f t="shared" si="1"/>
        <v>0</v>
      </c>
      <c r="S75" s="18" t="e">
        <f t="shared" si="5"/>
        <v>#DIV/0!</v>
      </c>
      <c r="T75" s="18" t="e">
        <f t="shared" si="5"/>
        <v>#DIV/0!</v>
      </c>
      <c r="U75" s="59"/>
      <c r="V75" s="41" t="e">
        <f>bdrate($D75:$D78,E75:E78,$L75:$L78,M75:M78)</f>
        <v>#VALUE!</v>
      </c>
      <c r="W75" s="46" t="e">
        <f>bdrate($D75:$D78,F75:F78,$L75:$L78,N75:N78)</f>
        <v>#VALUE!</v>
      </c>
      <c r="X75" s="46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 x14ac:dyDescent="0.2">
      <c r="A76" s="16"/>
      <c r="B76" s="16"/>
      <c r="C76" s="16">
        <v>27</v>
      </c>
      <c r="D76" s="17">
        <f>Reference!B386</f>
        <v>0</v>
      </c>
      <c r="E76" s="18">
        <f>Reference!C386</f>
        <v>0</v>
      </c>
      <c r="F76" s="18">
        <f>Reference!D386</f>
        <v>0</v>
      </c>
      <c r="G76" s="18">
        <f>Reference!E386</f>
        <v>0</v>
      </c>
      <c r="H76" s="18">
        <f>Reference!F386</f>
        <v>0</v>
      </c>
      <c r="I76" s="18">
        <f>Reference!G386</f>
        <v>0</v>
      </c>
      <c r="J76" s="19">
        <f t="shared" si="3"/>
        <v>0</v>
      </c>
      <c r="L76" s="17">
        <f>Test!B386</f>
        <v>0</v>
      </c>
      <c r="M76" s="18">
        <f>Test!C386</f>
        <v>0</v>
      </c>
      <c r="N76" s="18">
        <f>Test!D386</f>
        <v>0</v>
      </c>
      <c r="O76" s="18">
        <f>Test!E386</f>
        <v>0</v>
      </c>
      <c r="P76" s="18">
        <f>Test!F386</f>
        <v>0</v>
      </c>
      <c r="Q76" s="18">
        <f>Test!G386</f>
        <v>0</v>
      </c>
      <c r="R76" s="19">
        <f t="shared" si="1"/>
        <v>0</v>
      </c>
      <c r="S76" s="18" t="e">
        <f t="shared" si="5"/>
        <v>#DIV/0!</v>
      </c>
      <c r="T76" s="18" t="e">
        <f t="shared" si="5"/>
        <v>#DIV/0!</v>
      </c>
      <c r="U76" s="59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Reference!B387</f>
        <v>0</v>
      </c>
      <c r="E77" s="18">
        <f>Reference!C387</f>
        <v>0</v>
      </c>
      <c r="F77" s="18">
        <f>Reference!D387</f>
        <v>0</v>
      </c>
      <c r="G77" s="18">
        <f>Reference!E387</f>
        <v>0</v>
      </c>
      <c r="H77" s="18">
        <f>Reference!F387</f>
        <v>0</v>
      </c>
      <c r="I77" s="18">
        <f>Reference!G387</f>
        <v>0</v>
      </c>
      <c r="J77" s="19">
        <f t="shared" si="3"/>
        <v>0</v>
      </c>
      <c r="L77" s="17">
        <f>Test!B387</f>
        <v>0</v>
      </c>
      <c r="M77" s="18">
        <f>Test!C387</f>
        <v>0</v>
      </c>
      <c r="N77" s="18">
        <f>Test!D387</f>
        <v>0</v>
      </c>
      <c r="O77" s="18">
        <f>Test!E387</f>
        <v>0</v>
      </c>
      <c r="P77" s="18">
        <f>Test!F387</f>
        <v>0</v>
      </c>
      <c r="Q77" s="18">
        <f>Test!G387</f>
        <v>0</v>
      </c>
      <c r="R77" s="19">
        <f t="shared" si="1"/>
        <v>0</v>
      </c>
      <c r="S77" s="18" t="e">
        <f t="shared" si="5"/>
        <v>#DIV/0!</v>
      </c>
      <c r="T77" s="18" t="e">
        <f t="shared" si="5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Reference!B388</f>
        <v>0</v>
      </c>
      <c r="E78" s="23">
        <f>Reference!C388</f>
        <v>0</v>
      </c>
      <c r="F78" s="23">
        <f>Reference!D388</f>
        <v>0</v>
      </c>
      <c r="G78" s="23">
        <f>Reference!E388</f>
        <v>0</v>
      </c>
      <c r="H78" s="23">
        <f>Reference!F388</f>
        <v>0</v>
      </c>
      <c r="I78" s="23">
        <f>Reference!G388</f>
        <v>0</v>
      </c>
      <c r="J78" s="24">
        <f t="shared" si="3"/>
        <v>0</v>
      </c>
      <c r="L78" s="22">
        <f>Test!B388</f>
        <v>0</v>
      </c>
      <c r="M78" s="23">
        <f>Test!C388</f>
        <v>0</v>
      </c>
      <c r="N78" s="23">
        <f>Test!D388</f>
        <v>0</v>
      </c>
      <c r="O78" s="23">
        <f>Test!E388</f>
        <v>0</v>
      </c>
      <c r="P78" s="23">
        <f>Test!F388</f>
        <v>0</v>
      </c>
      <c r="Q78" s="23">
        <f>Test!G388</f>
        <v>0</v>
      </c>
      <c r="R78" s="24">
        <f t="shared" si="1"/>
        <v>0</v>
      </c>
      <c r="S78" s="23" t="e">
        <f t="shared" si="5"/>
        <v>#DIV/0!</v>
      </c>
      <c r="T78" s="23" t="e">
        <f t="shared" si="5"/>
        <v>#DIV/0!</v>
      </c>
      <c r="U78" s="60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>
        <f>Reference!B389</f>
        <v>2437.3784000000001</v>
      </c>
      <c r="E79" s="13">
        <f>Reference!C389</f>
        <v>42.376899999999999</v>
      </c>
      <c r="F79" s="13">
        <f>Reference!D389</f>
        <v>46.264800000000001</v>
      </c>
      <c r="G79" s="13">
        <f>Reference!E389</f>
        <v>47.520400000000002</v>
      </c>
      <c r="H79" s="13">
        <f>Reference!F389</f>
        <v>6514.1030000000001</v>
      </c>
      <c r="I79" s="13">
        <f>Reference!G389</f>
        <v>0</v>
      </c>
      <c r="J79" s="14">
        <f t="shared" si="3"/>
        <v>1.8094730555555556</v>
      </c>
      <c r="L79" s="12">
        <f>Test!B389</f>
        <v>0</v>
      </c>
      <c r="M79" s="13">
        <f>Test!C389</f>
        <v>0</v>
      </c>
      <c r="N79" s="13">
        <f>Test!D389</f>
        <v>0</v>
      </c>
      <c r="O79" s="13">
        <f>Test!E389</f>
        <v>0</v>
      </c>
      <c r="P79" s="13">
        <f>Test!F389</f>
        <v>0</v>
      </c>
      <c r="Q79" s="13">
        <f>Test!G389</f>
        <v>0</v>
      </c>
      <c r="R79" s="14">
        <f t="shared" si="1"/>
        <v>0</v>
      </c>
      <c r="S79" s="13">
        <f t="shared" si="5"/>
        <v>0</v>
      </c>
      <c r="T79" s="13" t="e">
        <f t="shared" si="5"/>
        <v>#DIV/0!</v>
      </c>
      <c r="U79" s="58"/>
      <c r="V79" s="41" t="e">
        <f>bdrate($D79:$D82,E79:E82,$L79:$L82,M79:M82)</f>
        <v>#VALUE!</v>
      </c>
      <c r="W79" s="46" t="e">
        <f>bdrate($D79:$D82,F79:F82,$L79:$L82,N79:N82)</f>
        <v>#VALUE!</v>
      </c>
      <c r="X79" s="47" t="e">
        <f>bdrate($D79:$D82,G79:G82,$L79:$L82,O79:O82)</f>
        <v>#VALUE!</v>
      </c>
      <c r="Y79" s="41" t="e">
        <f>bdrateOld($D79:$D82,E79:E82,$L79:$L82,M79:M82)</f>
        <v>#VALUE!</v>
      </c>
      <c r="Z79" s="46" t="e">
        <f>bdrateOld($D79:$D82,F79:F82,$L79:$L82,N79:N82)</f>
        <v>#VALUE!</v>
      </c>
      <c r="AA79" s="47" t="e">
        <f>bdrateOld($D79:$D82,G79:G82,$L79:$L82,O79:O82)</f>
        <v>#VALUE!</v>
      </c>
    </row>
    <row r="80" spans="1:27" x14ac:dyDescent="0.2">
      <c r="A80" s="16" t="s">
        <v>49</v>
      </c>
      <c r="B80" s="16"/>
      <c r="C80" s="16">
        <v>27</v>
      </c>
      <c r="D80" s="17">
        <f>Reference!B390</f>
        <v>901.17200000000003</v>
      </c>
      <c r="E80" s="18">
        <f>Reference!C390</f>
        <v>40.117800000000003</v>
      </c>
      <c r="F80" s="18">
        <f>Reference!D390</f>
        <v>44.207500000000003</v>
      </c>
      <c r="G80" s="18">
        <f>Reference!E390</f>
        <v>45.461300000000001</v>
      </c>
      <c r="H80" s="18">
        <f>Reference!F390</f>
        <v>5561.817</v>
      </c>
      <c r="I80" s="18">
        <f>Reference!G390</f>
        <v>0</v>
      </c>
      <c r="J80" s="19">
        <f t="shared" si="3"/>
        <v>1.5449491666666666</v>
      </c>
      <c r="L80" s="17">
        <f>Test!B390</f>
        <v>0</v>
      </c>
      <c r="M80" s="18">
        <f>Test!C390</f>
        <v>0</v>
      </c>
      <c r="N80" s="18">
        <f>Test!D390</f>
        <v>0</v>
      </c>
      <c r="O80" s="18">
        <f>Test!E390</f>
        <v>0</v>
      </c>
      <c r="P80" s="18">
        <f>Test!F390</f>
        <v>0</v>
      </c>
      <c r="Q80" s="18">
        <f>Test!G390</f>
        <v>0</v>
      </c>
      <c r="R80" s="19">
        <f t="shared" ref="R80:R106" si="6">P80/3600</f>
        <v>0</v>
      </c>
      <c r="S80" s="18">
        <f t="shared" si="5"/>
        <v>0</v>
      </c>
      <c r="T80" s="18" t="e">
        <f t="shared" si="5"/>
        <v>#DIV/0!</v>
      </c>
      <c r="U80" s="59"/>
      <c r="V80" s="42"/>
      <c r="W80" s="25"/>
      <c r="X80" s="54"/>
      <c r="Y80" s="42"/>
      <c r="Z80" s="25"/>
      <c r="AA80" s="54"/>
    </row>
    <row r="81" spans="1:27" x14ac:dyDescent="0.2">
      <c r="A81" s="16"/>
      <c r="B81" s="16"/>
      <c r="C81" s="16">
        <v>32</v>
      </c>
      <c r="D81" s="17">
        <f>Reference!B391</f>
        <v>434.99279999999999</v>
      </c>
      <c r="E81" s="18">
        <f>Reference!C391</f>
        <v>37.508699999999997</v>
      </c>
      <c r="F81" s="18">
        <f>Reference!D391</f>
        <v>42.415300000000002</v>
      </c>
      <c r="G81" s="18">
        <f>Reference!E391</f>
        <v>43.603499999999997</v>
      </c>
      <c r="H81" s="18">
        <f>Reference!F391</f>
        <v>5124.6620000000003</v>
      </c>
      <c r="I81" s="18">
        <f>Reference!G391</f>
        <v>0</v>
      </c>
      <c r="J81" s="19">
        <f t="shared" si="3"/>
        <v>1.4235172222222223</v>
      </c>
      <c r="L81" s="17">
        <f>Test!B391</f>
        <v>0</v>
      </c>
      <c r="M81" s="18">
        <f>Test!C391</f>
        <v>0</v>
      </c>
      <c r="N81" s="18">
        <f>Test!D391</f>
        <v>0</v>
      </c>
      <c r="O81" s="18">
        <f>Test!E391</f>
        <v>0</v>
      </c>
      <c r="P81" s="18">
        <f>Test!F391</f>
        <v>0</v>
      </c>
      <c r="Q81" s="18">
        <f>Test!G391</f>
        <v>0</v>
      </c>
      <c r="R81" s="19">
        <f t="shared" si="6"/>
        <v>0</v>
      </c>
      <c r="S81" s="18">
        <f t="shared" si="5"/>
        <v>0</v>
      </c>
      <c r="T81" s="18" t="e">
        <f t="shared" si="5"/>
        <v>#DIV/0!</v>
      </c>
      <c r="U81" s="59"/>
      <c r="V81" s="42"/>
      <c r="W81" s="25"/>
      <c r="X81" s="54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>
        <f>Reference!B392</f>
        <v>226.45920000000001</v>
      </c>
      <c r="E82" s="23">
        <f>Reference!C392</f>
        <v>34.581499999999998</v>
      </c>
      <c r="F82" s="23">
        <f>Reference!D392</f>
        <v>41.109000000000002</v>
      </c>
      <c r="G82" s="23">
        <f>Reference!E392</f>
        <v>42.228499999999997</v>
      </c>
      <c r="H82" s="23">
        <f>Reference!F392</f>
        <v>4883.4889999999996</v>
      </c>
      <c r="I82" s="23">
        <f>Reference!G392</f>
        <v>0</v>
      </c>
      <c r="J82" s="24">
        <f t="shared" si="3"/>
        <v>1.3565247222222221</v>
      </c>
      <c r="L82" s="22">
        <f>Test!B392</f>
        <v>0</v>
      </c>
      <c r="M82" s="23">
        <f>Test!C392</f>
        <v>0</v>
      </c>
      <c r="N82" s="23">
        <f>Test!D392</f>
        <v>0</v>
      </c>
      <c r="O82" s="23">
        <f>Test!E392</f>
        <v>0</v>
      </c>
      <c r="P82" s="23">
        <f>Test!F392</f>
        <v>0</v>
      </c>
      <c r="Q82" s="23">
        <f>Test!G392</f>
        <v>0</v>
      </c>
      <c r="R82" s="24">
        <f t="shared" si="6"/>
        <v>0</v>
      </c>
      <c r="S82" s="18">
        <f t="shared" si="5"/>
        <v>0</v>
      </c>
      <c r="T82" s="18" t="e">
        <f t="shared" si="5"/>
        <v>#DIV/0!</v>
      </c>
      <c r="U82" s="59"/>
      <c r="V82" s="43"/>
      <c r="W82" s="55"/>
      <c r="X82" s="56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>
        <f>Reference!B393</f>
        <v>1859.9656</v>
      </c>
      <c r="E83" s="13">
        <f>Reference!C393</f>
        <v>42.775500000000001</v>
      </c>
      <c r="F83" s="13">
        <f>Reference!D393</f>
        <v>47.795900000000003</v>
      </c>
      <c r="G83" s="13">
        <f>Reference!E393</f>
        <v>48.432899999999997</v>
      </c>
      <c r="H83" s="13">
        <f>Reference!F393</f>
        <v>6194.2</v>
      </c>
      <c r="I83" s="13">
        <f>Reference!G393</f>
        <v>0</v>
      </c>
      <c r="J83" s="14">
        <f t="shared" si="3"/>
        <v>1.7206111111111111</v>
      </c>
      <c r="L83" s="12">
        <f>Test!B393</f>
        <v>0</v>
      </c>
      <c r="M83" s="13">
        <f>Test!C393</f>
        <v>0</v>
      </c>
      <c r="N83" s="13">
        <f>Test!D393</f>
        <v>0</v>
      </c>
      <c r="O83" s="13">
        <f>Test!E393</f>
        <v>0</v>
      </c>
      <c r="P83" s="13">
        <f>Test!F393</f>
        <v>0</v>
      </c>
      <c r="Q83" s="13">
        <f>Test!G393</f>
        <v>0</v>
      </c>
      <c r="R83" s="14">
        <f t="shared" si="6"/>
        <v>0</v>
      </c>
      <c r="S83" s="18">
        <f t="shared" si="5"/>
        <v>0</v>
      </c>
      <c r="T83" s="18" t="e">
        <f t="shared" si="5"/>
        <v>#DIV/0!</v>
      </c>
      <c r="U83" s="59"/>
      <c r="V83" s="41" t="e">
        <f>bdrate($D83:$D86,E83:E86,$L83:$L86,M83:M86)</f>
        <v>#VALUE!</v>
      </c>
      <c r="W83" s="46" t="e">
        <f>bdrate($D83:$D86,F83:F86,$L83:$L86,N83:N86)</f>
        <v>#VALUE!</v>
      </c>
      <c r="X83" s="46" t="e">
        <f>bdrate($D83:$D86,G83:G86,$L83:$L86,O83:O86)</f>
        <v>#VALUE!</v>
      </c>
      <c r="Y83" s="44" t="e">
        <f>bdrateOld($D83:$D86,E83:E86,$L83:$L86,M83:M86)</f>
        <v>#VALUE!</v>
      </c>
      <c r="Z83" s="48" t="e">
        <f>bdrateOld($D83:$D86,F83:F86,$L83:$L86,N83:N86)</f>
        <v>#VALUE!</v>
      </c>
      <c r="AA83" s="49" t="e">
        <f>bdrateOld($D83:$D86,G83:G86,$L83:$L86,O83:O86)</f>
        <v>#VALUE!</v>
      </c>
    </row>
    <row r="84" spans="1:27" x14ac:dyDescent="0.2">
      <c r="A84" s="16"/>
      <c r="B84" s="16"/>
      <c r="C84" s="16">
        <v>27</v>
      </c>
      <c r="D84" s="17">
        <f>Reference!B394</f>
        <v>458.41919999999999</v>
      </c>
      <c r="E84" s="18">
        <f>Reference!C394</f>
        <v>40.988300000000002</v>
      </c>
      <c r="F84" s="18">
        <f>Reference!D394</f>
        <v>46.112000000000002</v>
      </c>
      <c r="G84" s="18">
        <f>Reference!E394</f>
        <v>46.759799999999998</v>
      </c>
      <c r="H84" s="18">
        <f>Reference!F394</f>
        <v>5179.9930000000004</v>
      </c>
      <c r="I84" s="18">
        <f>Reference!G394</f>
        <v>0</v>
      </c>
      <c r="J84" s="19">
        <f t="shared" si="3"/>
        <v>1.4388869444444445</v>
      </c>
      <c r="L84" s="17">
        <f>Test!B394</f>
        <v>0</v>
      </c>
      <c r="M84" s="18">
        <f>Test!C394</f>
        <v>0</v>
      </c>
      <c r="N84" s="18">
        <f>Test!D394</f>
        <v>0</v>
      </c>
      <c r="O84" s="18">
        <f>Test!E394</f>
        <v>0</v>
      </c>
      <c r="P84" s="18">
        <f>Test!F394</f>
        <v>0</v>
      </c>
      <c r="Q84" s="18">
        <f>Test!G394</f>
        <v>0</v>
      </c>
      <c r="R84" s="19">
        <f t="shared" si="6"/>
        <v>0</v>
      </c>
      <c r="S84" s="18">
        <f t="shared" si="5"/>
        <v>0</v>
      </c>
      <c r="T84" s="18" t="e">
        <f t="shared" si="5"/>
        <v>#DIV/0!</v>
      </c>
      <c r="U84" s="59"/>
      <c r="V84" s="42"/>
      <c r="W84" s="25"/>
      <c r="X84" s="25"/>
      <c r="Y84" s="42"/>
      <c r="Z84" s="25"/>
      <c r="AA84" s="54"/>
    </row>
    <row r="85" spans="1:27" x14ac:dyDescent="0.2">
      <c r="A85" s="16"/>
      <c r="B85" s="16"/>
      <c r="C85" s="16">
        <v>32</v>
      </c>
      <c r="D85" s="17">
        <f>Reference!B395</f>
        <v>190.16</v>
      </c>
      <c r="E85" s="18">
        <f>Reference!C395</f>
        <v>38.851399999999998</v>
      </c>
      <c r="F85" s="18">
        <f>Reference!D395</f>
        <v>44.450699999999998</v>
      </c>
      <c r="G85" s="18">
        <f>Reference!E395</f>
        <v>44.913800000000002</v>
      </c>
      <c r="H85" s="18">
        <f>Reference!F395</f>
        <v>4854.3140000000003</v>
      </c>
      <c r="I85" s="18">
        <f>Reference!G395</f>
        <v>0</v>
      </c>
      <c r="J85" s="19">
        <f t="shared" si="3"/>
        <v>1.3484205555555557</v>
      </c>
      <c r="L85" s="17">
        <f>Test!B395</f>
        <v>0</v>
      </c>
      <c r="M85" s="18">
        <f>Test!C395</f>
        <v>0</v>
      </c>
      <c r="N85" s="18">
        <f>Test!D395</f>
        <v>0</v>
      </c>
      <c r="O85" s="18">
        <f>Test!E395</f>
        <v>0</v>
      </c>
      <c r="P85" s="18">
        <f>Test!F395</f>
        <v>0</v>
      </c>
      <c r="Q85" s="18">
        <f>Test!G395</f>
        <v>0</v>
      </c>
      <c r="R85" s="19">
        <f t="shared" si="6"/>
        <v>0</v>
      </c>
      <c r="S85" s="18">
        <f t="shared" si="5"/>
        <v>0</v>
      </c>
      <c r="T85" s="18" t="e">
        <f t="shared" si="5"/>
        <v>#DIV/0!</v>
      </c>
      <c r="U85" s="59"/>
      <c r="V85" s="42"/>
      <c r="W85" s="25"/>
      <c r="X85" s="25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>
        <f>Reference!B396</f>
        <v>97.8352</v>
      </c>
      <c r="E86" s="23">
        <f>Reference!C396</f>
        <v>36.3675</v>
      </c>
      <c r="F86" s="23">
        <f>Reference!D396</f>
        <v>43.168799999999997</v>
      </c>
      <c r="G86" s="23">
        <f>Reference!E396</f>
        <v>43.558799999999998</v>
      </c>
      <c r="H86" s="23">
        <f>Reference!F396</f>
        <v>4692.4979999999996</v>
      </c>
      <c r="I86" s="23">
        <f>Reference!G396</f>
        <v>0</v>
      </c>
      <c r="J86" s="24">
        <f t="shared" si="3"/>
        <v>1.3034716666666666</v>
      </c>
      <c r="L86" s="22">
        <f>Test!B396</f>
        <v>0</v>
      </c>
      <c r="M86" s="23">
        <f>Test!C396</f>
        <v>0</v>
      </c>
      <c r="N86" s="23">
        <f>Test!D396</f>
        <v>0</v>
      </c>
      <c r="O86" s="23">
        <f>Test!E396</f>
        <v>0</v>
      </c>
      <c r="P86" s="23">
        <f>Test!F396</f>
        <v>0</v>
      </c>
      <c r="Q86" s="23">
        <f>Test!G396</f>
        <v>0</v>
      </c>
      <c r="R86" s="24">
        <f t="shared" si="6"/>
        <v>0</v>
      </c>
      <c r="S86" s="18">
        <f t="shared" si="5"/>
        <v>0</v>
      </c>
      <c r="T86" s="18" t="e">
        <f t="shared" si="5"/>
        <v>#DIV/0!</v>
      </c>
      <c r="U86" s="59"/>
      <c r="V86" s="43"/>
      <c r="W86" s="55"/>
      <c r="X86" s="55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>
        <f>Reference!B397</f>
        <v>2166.4279999999999</v>
      </c>
      <c r="E87" s="13">
        <f>Reference!C397</f>
        <v>43.114100000000001</v>
      </c>
      <c r="F87" s="13">
        <f>Reference!D397</f>
        <v>46.997199999999999</v>
      </c>
      <c r="G87" s="13">
        <f>Reference!E397</f>
        <v>47.950499999999998</v>
      </c>
      <c r="H87" s="13">
        <f>Reference!F397</f>
        <v>6663.5680000000002</v>
      </c>
      <c r="I87" s="13">
        <f>Reference!G397</f>
        <v>0</v>
      </c>
      <c r="J87" s="14">
        <f t="shared" si="3"/>
        <v>1.8509911111111113</v>
      </c>
      <c r="L87" s="12">
        <f>Test!B397</f>
        <v>0</v>
      </c>
      <c r="M87" s="13">
        <f>Test!C397</f>
        <v>0</v>
      </c>
      <c r="N87" s="13">
        <f>Test!D397</f>
        <v>0</v>
      </c>
      <c r="O87" s="13">
        <f>Test!E397</f>
        <v>0</v>
      </c>
      <c r="P87" s="13">
        <f>Test!F397</f>
        <v>0</v>
      </c>
      <c r="Q87" s="13">
        <f>Test!G397</f>
        <v>0</v>
      </c>
      <c r="R87" s="14">
        <f t="shared" si="6"/>
        <v>0</v>
      </c>
      <c r="S87" s="18">
        <f t="shared" ref="S87:T106" si="7">P87/H87</f>
        <v>0</v>
      </c>
      <c r="T87" s="18" t="e">
        <f t="shared" si="7"/>
        <v>#DIV/0!</v>
      </c>
      <c r="U87" s="59"/>
      <c r="V87" s="41" t="e">
        <f>bdrate($D87:$D90,E87:E90,$L87:$L90,M87:M90)</f>
        <v>#VALUE!</v>
      </c>
      <c r="W87" s="46" t="e">
        <f>bdrate($D87:$D90,F87:F90,$L87:$L90,N87:N90)</f>
        <v>#VALUE!</v>
      </c>
      <c r="X87" s="46" t="e">
        <f>bdrate($D87:$D90,G87:G90,$L87:$L90,O87:O90)</f>
        <v>#VALUE!</v>
      </c>
      <c r="Y87" s="44" t="e">
        <f>bdrateOld($D87:$D90,E87:E90,$L87:$L90,M87:M90)</f>
        <v>#VALUE!</v>
      </c>
      <c r="Z87" s="48" t="e">
        <f>bdrateOld($D87:$D90,F87:F90,$L87:$L90,N87:N90)</f>
        <v>#VALUE!</v>
      </c>
      <c r="AA87" s="49" t="e">
        <f>bdrateOld($D87:$D90,G87:G90,$L87:$L90,O87:O90)</f>
        <v>#VALUE!</v>
      </c>
    </row>
    <row r="88" spans="1:27" x14ac:dyDescent="0.2">
      <c r="A88" s="16"/>
      <c r="B88" s="16"/>
      <c r="C88" s="16">
        <v>27</v>
      </c>
      <c r="D88" s="17">
        <f>Reference!B398</f>
        <v>729.9384</v>
      </c>
      <c r="E88" s="18">
        <f>Reference!C398</f>
        <v>41.000399999999999</v>
      </c>
      <c r="F88" s="18">
        <f>Reference!D398</f>
        <v>45.140799999999999</v>
      </c>
      <c r="G88" s="18">
        <f>Reference!E398</f>
        <v>46.028399999999998</v>
      </c>
      <c r="H88" s="18">
        <f>Reference!F398</f>
        <v>5714.7629999999999</v>
      </c>
      <c r="I88" s="18">
        <f>Reference!G398</f>
        <v>0</v>
      </c>
      <c r="J88" s="19">
        <f t="shared" si="3"/>
        <v>1.5874341666666667</v>
      </c>
      <c r="L88" s="17">
        <f>Test!B398</f>
        <v>0</v>
      </c>
      <c r="M88" s="18">
        <f>Test!C398</f>
        <v>0</v>
      </c>
      <c r="N88" s="18">
        <f>Test!D398</f>
        <v>0</v>
      </c>
      <c r="O88" s="18">
        <f>Test!E398</f>
        <v>0</v>
      </c>
      <c r="P88" s="18">
        <f>Test!F398</f>
        <v>0</v>
      </c>
      <c r="Q88" s="18">
        <f>Test!G398</f>
        <v>0</v>
      </c>
      <c r="R88" s="19">
        <f t="shared" si="6"/>
        <v>0</v>
      </c>
      <c r="S88" s="18">
        <f t="shared" si="7"/>
        <v>0</v>
      </c>
      <c r="T88" s="18" t="e">
        <f t="shared" si="7"/>
        <v>#DIV/0!</v>
      </c>
      <c r="U88" s="59"/>
      <c r="V88" s="42"/>
      <c r="W88" s="25"/>
      <c r="X88" s="25"/>
      <c r="Y88" s="42"/>
      <c r="Z88" s="25"/>
      <c r="AA88" s="54"/>
    </row>
    <row r="89" spans="1:27" x14ac:dyDescent="0.2">
      <c r="A89" s="16"/>
      <c r="B89" s="16"/>
      <c r="C89" s="16">
        <v>32</v>
      </c>
      <c r="D89" s="17">
        <f>Reference!B399</f>
        <v>325.97680000000003</v>
      </c>
      <c r="E89" s="18">
        <f>Reference!C399</f>
        <v>38.591500000000003</v>
      </c>
      <c r="F89" s="18">
        <f>Reference!D399</f>
        <v>43.317</v>
      </c>
      <c r="G89" s="18">
        <f>Reference!E399</f>
        <v>44.310699999999997</v>
      </c>
      <c r="H89" s="18">
        <f>Reference!F399</f>
        <v>5253.366</v>
      </c>
      <c r="I89" s="18">
        <f>Reference!G399</f>
        <v>0</v>
      </c>
      <c r="J89" s="19">
        <f t="shared" si="3"/>
        <v>1.4592683333333334</v>
      </c>
      <c r="L89" s="17">
        <f>Test!B399</f>
        <v>0</v>
      </c>
      <c r="M89" s="18">
        <f>Test!C399</f>
        <v>0</v>
      </c>
      <c r="N89" s="18">
        <f>Test!D399</f>
        <v>0</v>
      </c>
      <c r="O89" s="18">
        <f>Test!E399</f>
        <v>0</v>
      </c>
      <c r="P89" s="18">
        <f>Test!F399</f>
        <v>0</v>
      </c>
      <c r="Q89" s="18">
        <f>Test!G399</f>
        <v>0</v>
      </c>
      <c r="R89" s="19">
        <f t="shared" si="6"/>
        <v>0</v>
      </c>
      <c r="S89" s="18">
        <f t="shared" si="7"/>
        <v>0</v>
      </c>
      <c r="T89" s="18" t="e">
        <f t="shared" si="7"/>
        <v>#DIV/0!</v>
      </c>
      <c r="U89" s="59"/>
      <c r="V89" s="42"/>
      <c r="W89" s="25"/>
      <c r="X89" s="25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>
        <f>Reference!B400</f>
        <v>166.02080000000001</v>
      </c>
      <c r="E90" s="23">
        <f>Reference!C400</f>
        <v>35.871000000000002</v>
      </c>
      <c r="F90" s="23">
        <f>Reference!D400</f>
        <v>41.968000000000004</v>
      </c>
      <c r="G90" s="23">
        <f>Reference!E400</f>
        <v>42.834899999999998</v>
      </c>
      <c r="H90" s="23">
        <f>Reference!F400</f>
        <v>4984.0029999999997</v>
      </c>
      <c r="I90" s="23">
        <f>Reference!G400</f>
        <v>0</v>
      </c>
      <c r="J90" s="24">
        <f t="shared" si="3"/>
        <v>1.3844452777777776</v>
      </c>
      <c r="L90" s="22">
        <f>Test!B400</f>
        <v>0</v>
      </c>
      <c r="M90" s="23">
        <f>Test!C400</f>
        <v>0</v>
      </c>
      <c r="N90" s="23">
        <f>Test!D400</f>
        <v>0</v>
      </c>
      <c r="O90" s="23">
        <f>Test!E400</f>
        <v>0</v>
      </c>
      <c r="P90" s="23">
        <f>Test!F400</f>
        <v>0</v>
      </c>
      <c r="Q90" s="23">
        <f>Test!G400</f>
        <v>0</v>
      </c>
      <c r="R90" s="24">
        <f t="shared" si="6"/>
        <v>0</v>
      </c>
      <c r="S90" s="18">
        <f t="shared" si="7"/>
        <v>0</v>
      </c>
      <c r="T90" s="18" t="e">
        <f t="shared" si="7"/>
        <v>#DIV/0!</v>
      </c>
      <c r="U90" s="59"/>
      <c r="V90" s="43"/>
      <c r="W90" s="55"/>
      <c r="X90" s="55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Reference!B401</f>
        <v>0</v>
      </c>
      <c r="E91" s="13">
        <f>Reference!C401</f>
        <v>0</v>
      </c>
      <c r="F91" s="13">
        <f>Reference!D401</f>
        <v>0</v>
      </c>
      <c r="G91" s="13">
        <f>Reference!E401</f>
        <v>0</v>
      </c>
      <c r="H91" s="13">
        <f>Reference!F401</f>
        <v>0</v>
      </c>
      <c r="I91" s="13">
        <f>Reference!G401</f>
        <v>0</v>
      </c>
      <c r="J91" s="14">
        <f t="shared" si="3"/>
        <v>0</v>
      </c>
      <c r="L91" s="12">
        <f>Test!B401</f>
        <v>0</v>
      </c>
      <c r="M91" s="13">
        <f>Test!C401</f>
        <v>0</v>
      </c>
      <c r="N91" s="13">
        <f>Test!D401</f>
        <v>0</v>
      </c>
      <c r="O91" s="13">
        <f>Test!E401</f>
        <v>0</v>
      </c>
      <c r="P91" s="13">
        <f>Test!F401</f>
        <v>0</v>
      </c>
      <c r="Q91" s="13">
        <f>Test!G401</f>
        <v>0</v>
      </c>
      <c r="R91" s="14">
        <f t="shared" si="6"/>
        <v>0</v>
      </c>
      <c r="S91" s="13" t="e">
        <f t="shared" si="7"/>
        <v>#DIV/0!</v>
      </c>
      <c r="T91" s="13" t="e">
        <f t="shared" si="7"/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 x14ac:dyDescent="0.2">
      <c r="A92" s="35"/>
      <c r="B92" s="35"/>
      <c r="C92" s="35">
        <v>27</v>
      </c>
      <c r="D92" s="17">
        <f>Reference!B402</f>
        <v>0</v>
      </c>
      <c r="E92" s="18">
        <f>Reference!C402</f>
        <v>0</v>
      </c>
      <c r="F92" s="18">
        <f>Reference!D402</f>
        <v>0</v>
      </c>
      <c r="G92" s="18">
        <f>Reference!E402</f>
        <v>0</v>
      </c>
      <c r="H92" s="18">
        <f>Reference!F402</f>
        <v>0</v>
      </c>
      <c r="I92" s="18">
        <f>Reference!G402</f>
        <v>0</v>
      </c>
      <c r="J92" s="19">
        <f t="shared" ref="J92:J106" si="8">H92/3600</f>
        <v>0</v>
      </c>
      <c r="L92" s="17">
        <f>Test!B402</f>
        <v>0</v>
      </c>
      <c r="M92" s="18">
        <f>Test!C402</f>
        <v>0</v>
      </c>
      <c r="N92" s="18">
        <f>Test!D402</f>
        <v>0</v>
      </c>
      <c r="O92" s="18">
        <f>Test!E402</f>
        <v>0</v>
      </c>
      <c r="P92" s="18">
        <f>Test!F402</f>
        <v>0</v>
      </c>
      <c r="Q92" s="18">
        <f>Test!G402</f>
        <v>0</v>
      </c>
      <c r="R92" s="19">
        <f t="shared" si="6"/>
        <v>0</v>
      </c>
      <c r="S92" s="18" t="e">
        <f t="shared" si="7"/>
        <v>#DIV/0!</v>
      </c>
      <c r="T92" s="18" t="e">
        <f t="shared" si="7"/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Reference!B403</f>
        <v>0</v>
      </c>
      <c r="E93" s="18">
        <f>Reference!C403</f>
        <v>0</v>
      </c>
      <c r="F93" s="18">
        <f>Reference!D403</f>
        <v>0</v>
      </c>
      <c r="G93" s="18">
        <f>Reference!E403</f>
        <v>0</v>
      </c>
      <c r="H93" s="18">
        <f>Reference!F403</f>
        <v>0</v>
      </c>
      <c r="I93" s="18">
        <f>Reference!G403</f>
        <v>0</v>
      </c>
      <c r="J93" s="19">
        <f t="shared" si="8"/>
        <v>0</v>
      </c>
      <c r="L93" s="17">
        <f>Test!B403</f>
        <v>0</v>
      </c>
      <c r="M93" s="18">
        <f>Test!C403</f>
        <v>0</v>
      </c>
      <c r="N93" s="18">
        <f>Test!D403</f>
        <v>0</v>
      </c>
      <c r="O93" s="18">
        <f>Test!E403</f>
        <v>0</v>
      </c>
      <c r="P93" s="18">
        <f>Test!F403</f>
        <v>0</v>
      </c>
      <c r="Q93" s="18">
        <f>Test!G403</f>
        <v>0</v>
      </c>
      <c r="R93" s="19">
        <f t="shared" si="6"/>
        <v>0</v>
      </c>
      <c r="S93" s="18" t="e">
        <f t="shared" si="7"/>
        <v>#DIV/0!</v>
      </c>
      <c r="T93" s="18" t="e">
        <f t="shared" si="7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Reference!B404</f>
        <v>0</v>
      </c>
      <c r="E94" s="23">
        <f>Reference!C404</f>
        <v>0</v>
      </c>
      <c r="F94" s="23">
        <f>Reference!D404</f>
        <v>0</v>
      </c>
      <c r="G94" s="23">
        <f>Reference!E404</f>
        <v>0</v>
      </c>
      <c r="H94" s="23">
        <f>Reference!F404</f>
        <v>0</v>
      </c>
      <c r="I94" s="23">
        <f>Reference!G404</f>
        <v>0</v>
      </c>
      <c r="J94" s="24">
        <f t="shared" si="8"/>
        <v>0</v>
      </c>
      <c r="L94" s="22">
        <f>Test!B404</f>
        <v>0</v>
      </c>
      <c r="M94" s="23">
        <f>Test!C404</f>
        <v>0</v>
      </c>
      <c r="N94" s="23">
        <f>Test!D404</f>
        <v>0</v>
      </c>
      <c r="O94" s="23">
        <f>Test!E404</f>
        <v>0</v>
      </c>
      <c r="P94" s="23">
        <f>Test!F404</f>
        <v>0</v>
      </c>
      <c r="Q94" s="23">
        <f>Test!G404</f>
        <v>0</v>
      </c>
      <c r="R94" s="24">
        <f t="shared" si="6"/>
        <v>0</v>
      </c>
      <c r="S94" s="18" t="e">
        <f t="shared" si="7"/>
        <v>#DIV/0!</v>
      </c>
      <c r="T94" s="18" t="e">
        <f t="shared" si="7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Reference!B405</f>
        <v>0</v>
      </c>
      <c r="E95" s="13">
        <f>Reference!C405</f>
        <v>0</v>
      </c>
      <c r="F95" s="13">
        <f>Reference!D405</f>
        <v>0</v>
      </c>
      <c r="G95" s="13">
        <f>Reference!E405</f>
        <v>0</v>
      </c>
      <c r="H95" s="13">
        <f>Reference!F405</f>
        <v>0</v>
      </c>
      <c r="I95" s="13">
        <f>Reference!G405</f>
        <v>0</v>
      </c>
      <c r="J95" s="14">
        <f t="shared" si="8"/>
        <v>0</v>
      </c>
      <c r="L95" s="12">
        <f>Test!B405</f>
        <v>0</v>
      </c>
      <c r="M95" s="13">
        <f>Test!C405</f>
        <v>0</v>
      </c>
      <c r="N95" s="13">
        <f>Test!D405</f>
        <v>0</v>
      </c>
      <c r="O95" s="13">
        <f>Test!E405</f>
        <v>0</v>
      </c>
      <c r="P95" s="13">
        <f>Test!F405</f>
        <v>0</v>
      </c>
      <c r="Q95" s="13">
        <f>Test!G405</f>
        <v>0</v>
      </c>
      <c r="R95" s="14">
        <f t="shared" si="6"/>
        <v>0</v>
      </c>
      <c r="S95" s="18" t="e">
        <f t="shared" si="7"/>
        <v>#DIV/0!</v>
      </c>
      <c r="T95" s="18" t="e">
        <f t="shared" si="7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 x14ac:dyDescent="0.2">
      <c r="A96" s="35"/>
      <c r="B96" s="35"/>
      <c r="C96" s="35">
        <v>27</v>
      </c>
      <c r="D96" s="17">
        <f>Reference!B406</f>
        <v>0</v>
      </c>
      <c r="E96" s="18">
        <f>Reference!C406</f>
        <v>0</v>
      </c>
      <c r="F96" s="18">
        <f>Reference!D406</f>
        <v>0</v>
      </c>
      <c r="G96" s="18">
        <f>Reference!E406</f>
        <v>0</v>
      </c>
      <c r="H96" s="18">
        <f>Reference!F406</f>
        <v>0</v>
      </c>
      <c r="I96" s="18">
        <f>Reference!G406</f>
        <v>0</v>
      </c>
      <c r="J96" s="19">
        <f t="shared" si="8"/>
        <v>0</v>
      </c>
      <c r="L96" s="17">
        <f>Test!B406</f>
        <v>0</v>
      </c>
      <c r="M96" s="18">
        <f>Test!C406</f>
        <v>0</v>
      </c>
      <c r="N96" s="18">
        <f>Test!D406</f>
        <v>0</v>
      </c>
      <c r="O96" s="18">
        <f>Test!E406</f>
        <v>0</v>
      </c>
      <c r="P96" s="18">
        <f>Test!F406</f>
        <v>0</v>
      </c>
      <c r="Q96" s="18">
        <f>Test!G406</f>
        <v>0</v>
      </c>
      <c r="R96" s="19">
        <f t="shared" si="6"/>
        <v>0</v>
      </c>
      <c r="S96" s="18" t="e">
        <f t="shared" si="7"/>
        <v>#DIV/0!</v>
      </c>
      <c r="T96" s="18" t="e">
        <f t="shared" si="7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Reference!B407</f>
        <v>0</v>
      </c>
      <c r="E97" s="18">
        <f>Reference!C407</f>
        <v>0</v>
      </c>
      <c r="F97" s="18">
        <f>Reference!D407</f>
        <v>0</v>
      </c>
      <c r="G97" s="18">
        <f>Reference!E407</f>
        <v>0</v>
      </c>
      <c r="H97" s="18">
        <f>Reference!F407</f>
        <v>0</v>
      </c>
      <c r="I97" s="18">
        <f>Reference!G407</f>
        <v>0</v>
      </c>
      <c r="J97" s="19">
        <f t="shared" si="8"/>
        <v>0</v>
      </c>
      <c r="L97" s="17">
        <f>Test!B407</f>
        <v>0</v>
      </c>
      <c r="M97" s="18">
        <f>Test!C407</f>
        <v>0</v>
      </c>
      <c r="N97" s="18">
        <f>Test!D407</f>
        <v>0</v>
      </c>
      <c r="O97" s="18">
        <f>Test!E407</f>
        <v>0</v>
      </c>
      <c r="P97" s="18">
        <f>Test!F407</f>
        <v>0</v>
      </c>
      <c r="Q97" s="18">
        <f>Test!G407</f>
        <v>0</v>
      </c>
      <c r="R97" s="19">
        <f t="shared" si="6"/>
        <v>0</v>
      </c>
      <c r="S97" s="18" t="e">
        <f t="shared" si="7"/>
        <v>#DIV/0!</v>
      </c>
      <c r="T97" s="18" t="e">
        <f t="shared" si="7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Reference!B408</f>
        <v>0</v>
      </c>
      <c r="E98" s="23">
        <f>Reference!C408</f>
        <v>0</v>
      </c>
      <c r="F98" s="23">
        <f>Reference!D408</f>
        <v>0</v>
      </c>
      <c r="G98" s="23">
        <f>Reference!E408</f>
        <v>0</v>
      </c>
      <c r="H98" s="23">
        <f>Reference!F408</f>
        <v>0</v>
      </c>
      <c r="I98" s="23">
        <f>Reference!G408</f>
        <v>0</v>
      </c>
      <c r="J98" s="24">
        <f t="shared" si="8"/>
        <v>0</v>
      </c>
      <c r="L98" s="22">
        <f>Test!B408</f>
        <v>0</v>
      </c>
      <c r="M98" s="23">
        <f>Test!C408</f>
        <v>0</v>
      </c>
      <c r="N98" s="23">
        <f>Test!D408</f>
        <v>0</v>
      </c>
      <c r="O98" s="23">
        <f>Test!E408</f>
        <v>0</v>
      </c>
      <c r="P98" s="23">
        <f>Test!F408</f>
        <v>0</v>
      </c>
      <c r="Q98" s="23">
        <f>Test!G408</f>
        <v>0</v>
      </c>
      <c r="R98" s="24">
        <f t="shared" si="6"/>
        <v>0</v>
      </c>
      <c r="S98" s="18" t="e">
        <f t="shared" si="7"/>
        <v>#DIV/0!</v>
      </c>
      <c r="T98" s="18" t="e">
        <f t="shared" si="7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Reference!B409</f>
        <v>0</v>
      </c>
      <c r="E99" s="13">
        <f>Reference!C409</f>
        <v>0</v>
      </c>
      <c r="F99" s="13">
        <f>Reference!D409</f>
        <v>0</v>
      </c>
      <c r="G99" s="13">
        <f>Reference!E409</f>
        <v>0</v>
      </c>
      <c r="H99" s="13">
        <f>Reference!F409</f>
        <v>0</v>
      </c>
      <c r="I99" s="13">
        <f>Reference!G409</f>
        <v>0</v>
      </c>
      <c r="J99" s="14">
        <f t="shared" si="8"/>
        <v>0</v>
      </c>
      <c r="L99" s="12">
        <f>Test!B409</f>
        <v>0</v>
      </c>
      <c r="M99" s="13">
        <f>Test!C409</f>
        <v>0</v>
      </c>
      <c r="N99" s="13">
        <f>Test!D409</f>
        <v>0</v>
      </c>
      <c r="O99" s="13">
        <f>Test!E409</f>
        <v>0</v>
      </c>
      <c r="P99" s="13">
        <f>Test!F409</f>
        <v>0</v>
      </c>
      <c r="Q99" s="13">
        <f>Test!G409</f>
        <v>0</v>
      </c>
      <c r="R99" s="14">
        <f t="shared" si="6"/>
        <v>0</v>
      </c>
      <c r="S99" s="18" t="e">
        <f t="shared" si="7"/>
        <v>#DIV/0!</v>
      </c>
      <c r="T99" s="18" t="e">
        <f t="shared" si="7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 x14ac:dyDescent="0.2">
      <c r="A100" s="35"/>
      <c r="B100" s="35"/>
      <c r="C100" s="35">
        <v>27</v>
      </c>
      <c r="D100" s="17">
        <f>Reference!B410</f>
        <v>0</v>
      </c>
      <c r="E100" s="18">
        <f>Reference!C410</f>
        <v>0</v>
      </c>
      <c r="F100" s="18">
        <f>Reference!D410</f>
        <v>0</v>
      </c>
      <c r="G100" s="18">
        <f>Reference!E410</f>
        <v>0</v>
      </c>
      <c r="H100" s="18">
        <f>Reference!F410</f>
        <v>0</v>
      </c>
      <c r="I100" s="18">
        <f>Reference!G410</f>
        <v>0</v>
      </c>
      <c r="J100" s="19">
        <f t="shared" si="8"/>
        <v>0</v>
      </c>
      <c r="L100" s="17">
        <f>Test!B410</f>
        <v>0</v>
      </c>
      <c r="M100" s="18">
        <f>Test!C410</f>
        <v>0</v>
      </c>
      <c r="N100" s="18">
        <f>Test!D410</f>
        <v>0</v>
      </c>
      <c r="O100" s="18">
        <f>Test!E410</f>
        <v>0</v>
      </c>
      <c r="P100" s="18">
        <f>Test!F410</f>
        <v>0</v>
      </c>
      <c r="Q100" s="18">
        <f>Test!G410</f>
        <v>0</v>
      </c>
      <c r="R100" s="19">
        <f t="shared" si="6"/>
        <v>0</v>
      </c>
      <c r="S100" s="18" t="e">
        <f t="shared" si="7"/>
        <v>#DIV/0!</v>
      </c>
      <c r="T100" s="18" t="e">
        <f t="shared" si="7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Reference!B411</f>
        <v>0</v>
      </c>
      <c r="E101" s="18">
        <f>Reference!C411</f>
        <v>0</v>
      </c>
      <c r="F101" s="18">
        <f>Reference!D411</f>
        <v>0</v>
      </c>
      <c r="G101" s="18">
        <f>Reference!E411</f>
        <v>0</v>
      </c>
      <c r="H101" s="18">
        <f>Reference!F411</f>
        <v>0</v>
      </c>
      <c r="I101" s="18">
        <f>Reference!G411</f>
        <v>0</v>
      </c>
      <c r="J101" s="19">
        <f t="shared" si="8"/>
        <v>0</v>
      </c>
      <c r="L101" s="17">
        <f>Test!B411</f>
        <v>0</v>
      </c>
      <c r="M101" s="18">
        <f>Test!C411</f>
        <v>0</v>
      </c>
      <c r="N101" s="18">
        <f>Test!D411</f>
        <v>0</v>
      </c>
      <c r="O101" s="18">
        <f>Test!E411</f>
        <v>0</v>
      </c>
      <c r="P101" s="18">
        <f>Test!F411</f>
        <v>0</v>
      </c>
      <c r="Q101" s="18">
        <f>Test!G411</f>
        <v>0</v>
      </c>
      <c r="R101" s="19">
        <f t="shared" si="6"/>
        <v>0</v>
      </c>
      <c r="S101" s="18" t="e">
        <f t="shared" si="7"/>
        <v>#DIV/0!</v>
      </c>
      <c r="T101" s="18" t="e">
        <f t="shared" si="7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Reference!B412</f>
        <v>0</v>
      </c>
      <c r="E102" s="23">
        <f>Reference!C412</f>
        <v>0</v>
      </c>
      <c r="F102" s="23">
        <f>Reference!D412</f>
        <v>0</v>
      </c>
      <c r="G102" s="23">
        <f>Reference!E412</f>
        <v>0</v>
      </c>
      <c r="H102" s="23">
        <f>Reference!F412</f>
        <v>0</v>
      </c>
      <c r="I102" s="23">
        <f>Reference!G412</f>
        <v>0</v>
      </c>
      <c r="J102" s="24">
        <f t="shared" si="8"/>
        <v>0</v>
      </c>
      <c r="L102" s="22">
        <f>Test!B412</f>
        <v>0</v>
      </c>
      <c r="M102" s="23">
        <f>Test!C412</f>
        <v>0</v>
      </c>
      <c r="N102" s="23">
        <f>Test!D412</f>
        <v>0</v>
      </c>
      <c r="O102" s="23">
        <f>Test!E412</f>
        <v>0</v>
      </c>
      <c r="P102" s="23">
        <f>Test!F412</f>
        <v>0</v>
      </c>
      <c r="Q102" s="23">
        <f>Test!G412</f>
        <v>0</v>
      </c>
      <c r="R102" s="24">
        <f t="shared" si="6"/>
        <v>0</v>
      </c>
      <c r="S102" s="18" t="e">
        <f t="shared" si="7"/>
        <v>#DIV/0!</v>
      </c>
      <c r="T102" s="18" t="e">
        <f t="shared" si="7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Reference!B413</f>
        <v>0</v>
      </c>
      <c r="E103" s="13">
        <f>Reference!C413</f>
        <v>0</v>
      </c>
      <c r="F103" s="13">
        <f>Reference!D413</f>
        <v>0</v>
      </c>
      <c r="G103" s="13">
        <f>Reference!E413</f>
        <v>0</v>
      </c>
      <c r="H103" s="13">
        <f>Reference!F413</f>
        <v>0</v>
      </c>
      <c r="I103" s="13">
        <f>Reference!G413</f>
        <v>0</v>
      </c>
      <c r="J103" s="14">
        <f t="shared" si="8"/>
        <v>0</v>
      </c>
      <c r="L103" s="12">
        <f>Test!B413</f>
        <v>0</v>
      </c>
      <c r="M103" s="13">
        <f>Test!C413</f>
        <v>0</v>
      </c>
      <c r="N103" s="13">
        <f>Test!D413</f>
        <v>0</v>
      </c>
      <c r="O103" s="13">
        <f>Test!E413</f>
        <v>0</v>
      </c>
      <c r="P103" s="13">
        <f>Test!F413</f>
        <v>0</v>
      </c>
      <c r="Q103" s="13">
        <f>Test!G413</f>
        <v>0</v>
      </c>
      <c r="R103" s="14">
        <f t="shared" si="6"/>
        <v>0</v>
      </c>
      <c r="S103" s="18" t="e">
        <f t="shared" si="7"/>
        <v>#DIV/0!</v>
      </c>
      <c r="T103" s="18" t="e">
        <f t="shared" si="7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 x14ac:dyDescent="0.2">
      <c r="A104" s="35"/>
      <c r="B104" s="35"/>
      <c r="C104" s="35">
        <v>27</v>
      </c>
      <c r="D104" s="17">
        <f>Reference!B414</f>
        <v>0</v>
      </c>
      <c r="E104" s="18">
        <f>Reference!C414</f>
        <v>0</v>
      </c>
      <c r="F104" s="18">
        <f>Reference!D414</f>
        <v>0</v>
      </c>
      <c r="G104" s="18">
        <f>Reference!E414</f>
        <v>0</v>
      </c>
      <c r="H104" s="18">
        <f>Reference!F414</f>
        <v>0</v>
      </c>
      <c r="I104" s="18">
        <f>Reference!G414</f>
        <v>0</v>
      </c>
      <c r="J104" s="19">
        <f t="shared" si="8"/>
        <v>0</v>
      </c>
      <c r="L104" s="17">
        <f>Test!B414</f>
        <v>0</v>
      </c>
      <c r="M104" s="18">
        <f>Test!C414</f>
        <v>0</v>
      </c>
      <c r="N104" s="18">
        <f>Test!D414</f>
        <v>0</v>
      </c>
      <c r="O104" s="18">
        <f>Test!E414</f>
        <v>0</v>
      </c>
      <c r="P104" s="18">
        <f>Test!F414</f>
        <v>0</v>
      </c>
      <c r="Q104" s="18">
        <f>Test!G414</f>
        <v>0</v>
      </c>
      <c r="R104" s="19">
        <f t="shared" si="6"/>
        <v>0</v>
      </c>
      <c r="S104" s="18" t="e">
        <f t="shared" si="7"/>
        <v>#DIV/0!</v>
      </c>
      <c r="T104" s="18" t="e">
        <f t="shared" si="7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Reference!B415</f>
        <v>0</v>
      </c>
      <c r="E105" s="18">
        <f>Reference!C415</f>
        <v>0</v>
      </c>
      <c r="F105" s="18">
        <f>Reference!D415</f>
        <v>0</v>
      </c>
      <c r="G105" s="18">
        <f>Reference!E415</f>
        <v>0</v>
      </c>
      <c r="H105" s="18">
        <f>Reference!F415</f>
        <v>0</v>
      </c>
      <c r="I105" s="18">
        <f>Reference!G415</f>
        <v>0</v>
      </c>
      <c r="J105" s="19">
        <f t="shared" si="8"/>
        <v>0</v>
      </c>
      <c r="L105" s="17">
        <f>Test!B415</f>
        <v>0</v>
      </c>
      <c r="M105" s="18">
        <f>Test!C415</f>
        <v>0</v>
      </c>
      <c r="N105" s="18">
        <f>Test!D415</f>
        <v>0</v>
      </c>
      <c r="O105" s="18">
        <f>Test!E415</f>
        <v>0</v>
      </c>
      <c r="P105" s="18">
        <f>Test!F415</f>
        <v>0</v>
      </c>
      <c r="Q105" s="18">
        <f>Test!G415</f>
        <v>0</v>
      </c>
      <c r="R105" s="19">
        <f t="shared" si="6"/>
        <v>0</v>
      </c>
      <c r="S105" s="18" t="e">
        <f t="shared" si="7"/>
        <v>#DIV/0!</v>
      </c>
      <c r="T105" s="18" t="e">
        <f t="shared" si="7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Reference!B416</f>
        <v>0</v>
      </c>
      <c r="E106" s="23">
        <f>Reference!C416</f>
        <v>0</v>
      </c>
      <c r="F106" s="23">
        <f>Reference!D416</f>
        <v>0</v>
      </c>
      <c r="G106" s="23">
        <f>Reference!E416</f>
        <v>0</v>
      </c>
      <c r="H106" s="23">
        <f>Reference!F416</f>
        <v>0</v>
      </c>
      <c r="I106" s="23">
        <f>Reference!G416</f>
        <v>0</v>
      </c>
      <c r="J106" s="24">
        <f t="shared" si="8"/>
        <v>0</v>
      </c>
      <c r="L106" s="22">
        <f>Test!B416</f>
        <v>0</v>
      </c>
      <c r="M106" s="23">
        <f>Test!C416</f>
        <v>0</v>
      </c>
      <c r="N106" s="23">
        <f>Test!D416</f>
        <v>0</v>
      </c>
      <c r="O106" s="23">
        <f>Test!E416</f>
        <v>0</v>
      </c>
      <c r="P106" s="23">
        <f>Test!F416</f>
        <v>0</v>
      </c>
      <c r="Q106" s="23">
        <f>Test!G416</f>
        <v>0</v>
      </c>
      <c r="R106" s="24">
        <f t="shared" si="6"/>
        <v>0</v>
      </c>
      <c r="S106" s="23" t="e">
        <f t="shared" si="7"/>
        <v>#DIV/0!</v>
      </c>
      <c r="T106" s="23" t="e">
        <f t="shared" si="7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/>
      <c r="J107" s="15"/>
      <c r="Q107" s="15"/>
      <c r="R107" s="15"/>
      <c r="S107" s="15"/>
      <c r="T107" s="15"/>
      <c r="V107" s="41"/>
      <c r="W107" s="46"/>
      <c r="X107" s="46"/>
      <c r="Y107" s="41"/>
      <c r="Z107" s="46"/>
      <c r="AA107" s="47"/>
    </row>
    <row r="108" spans="1:27" x14ac:dyDescent="0.2">
      <c r="B108" s="1" t="s">
        <v>70</v>
      </c>
      <c r="I108" s="15"/>
      <c r="J108" s="15"/>
      <c r="Q108" s="15"/>
      <c r="R108" s="15"/>
      <c r="S108" s="15"/>
      <c r="T108" s="15"/>
      <c r="V108" s="44"/>
      <c r="W108" s="48"/>
      <c r="X108" s="48"/>
      <c r="Y108" s="44"/>
      <c r="Z108" s="48"/>
      <c r="AA108" s="49"/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9">GEOMEAN(S27:S46)</f>
        <v>#DIV/0!</v>
      </c>
      <c r="T109" s="15" t="e">
        <f t="shared" si="9"/>
        <v>#DIV/0!</v>
      </c>
      <c r="V109" s="44" t="e">
        <f>AVERAGE(V27:V46)</f>
        <v>#VALUE!</v>
      </c>
      <c r="W109" s="48" t="e">
        <f t="shared" ref="W109:AA109" si="10">AVERAGE(W27:W46)</f>
        <v>#VALUE!</v>
      </c>
      <c r="X109" s="48" t="e">
        <f t="shared" si="10"/>
        <v>#VALUE!</v>
      </c>
      <c r="Y109" s="44" t="e">
        <f t="shared" si="10"/>
        <v>#VALUE!</v>
      </c>
      <c r="Z109" s="48" t="e">
        <f t="shared" si="10"/>
        <v>#VALUE!</v>
      </c>
      <c r="AA109" s="49" t="e">
        <f t="shared" si="10"/>
        <v>#VALUE!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1">GEOMEAN(S47:S62)</f>
        <v>#DIV/0!</v>
      </c>
      <c r="T110" s="15" t="e">
        <f t="shared" si="11"/>
        <v>#DIV/0!</v>
      </c>
      <c r="V110" s="44" t="e">
        <f>AVERAGE(V47:V62)</f>
        <v>#VALUE!</v>
      </c>
      <c r="W110" s="48" t="e">
        <f t="shared" ref="W110:AA110" si="12">AVERAGE(W47:W62)</f>
        <v>#VALUE!</v>
      </c>
      <c r="X110" s="48" t="e">
        <f t="shared" si="12"/>
        <v>#VALUE!</v>
      </c>
      <c r="Y110" s="44" t="e">
        <f t="shared" si="12"/>
        <v>#VALUE!</v>
      </c>
      <c r="Z110" s="48" t="e">
        <f t="shared" si="12"/>
        <v>#VALUE!</v>
      </c>
      <c r="AA110" s="49" t="e">
        <f t="shared" si="12"/>
        <v>#VALUE!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3">GEOMEAN(S63:S78)</f>
        <v>#DIV/0!</v>
      </c>
      <c r="T111" s="15" t="e">
        <f t="shared" si="13"/>
        <v>#DIV/0!</v>
      </c>
      <c r="V111" s="44" t="e">
        <f>AVERAGE(V63:V78)</f>
        <v>#VALUE!</v>
      </c>
      <c r="W111" s="48" t="e">
        <f t="shared" ref="W111:AA111" si="14">AVERAGE(W63:W78)</f>
        <v>#VALUE!</v>
      </c>
      <c r="X111" s="48" t="e">
        <f t="shared" si="14"/>
        <v>#VALUE!</v>
      </c>
      <c r="Y111" s="44" t="e">
        <f t="shared" si="14"/>
        <v>#VALUE!</v>
      </c>
      <c r="Z111" s="48" t="e">
        <f t="shared" si="14"/>
        <v>#VALUE!</v>
      </c>
      <c r="AA111" s="49" t="e">
        <f t="shared" si="14"/>
        <v>#VALUE!</v>
      </c>
    </row>
    <row r="112" spans="1:27" x14ac:dyDescent="0.2">
      <c r="B112" s="1" t="s">
        <v>7</v>
      </c>
      <c r="I112" s="15" t="e">
        <f>GEOMEAN(I79:I90)</f>
        <v>#NUM!</v>
      </c>
      <c r="J112" s="15">
        <f>GEOMEAN(J79:J90)</f>
        <v>1.5090385803198598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15">GEOMEAN(S79:S90)</f>
        <v>#NUM!</v>
      </c>
      <c r="T112" s="15" t="e">
        <f t="shared" si="15"/>
        <v>#DIV/0!</v>
      </c>
      <c r="V112" s="44" t="e">
        <f>AVERAGE(V79:V88)</f>
        <v>#VALUE!</v>
      </c>
      <c r="W112" s="48" t="e">
        <f t="shared" ref="W112:AA112" si="16">AVERAGE(W79:W88)</f>
        <v>#VALUE!</v>
      </c>
      <c r="X112" s="48" t="e">
        <f t="shared" si="16"/>
        <v>#VALUE!</v>
      </c>
      <c r="Y112" s="44" t="e">
        <f t="shared" si="16"/>
        <v>#VALUE!</v>
      </c>
      <c r="Z112" s="48" t="e">
        <f t="shared" si="16"/>
        <v>#VALUE!</v>
      </c>
      <c r="AA112" s="49" t="e">
        <f t="shared" si="16"/>
        <v>#VALUE!</v>
      </c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7">GEOMEAN(S91:S106)</f>
        <v>#DIV/0!</v>
      </c>
      <c r="T113" s="15" t="e">
        <f t="shared" si="17"/>
        <v>#DIV/0!</v>
      </c>
      <c r="V113" s="44" t="e">
        <f>AVERAGE(V91:V106)</f>
        <v>#VALUE!</v>
      </c>
      <c r="W113" s="48" t="e">
        <f t="shared" ref="W113:AA113" si="18">AVERAGE(W91:W106)</f>
        <v>#VALUE!</v>
      </c>
      <c r="X113" s="48" t="e">
        <f t="shared" si="18"/>
        <v>#VALUE!</v>
      </c>
      <c r="Y113" s="44" t="e">
        <f t="shared" si="18"/>
        <v>#VALUE!</v>
      </c>
      <c r="Z113" s="48" t="e">
        <f t="shared" si="18"/>
        <v>#VALUE!</v>
      </c>
      <c r="AA113" s="49" t="e">
        <f t="shared" si="18"/>
        <v>#VALUE!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 t="shared" ref="R114:T114" si="19">GEOMEAN(R3:R62,R79:R90)</f>
        <v>#NUM!</v>
      </c>
      <c r="S114" s="61" t="e">
        <f t="shared" si="19"/>
        <v>#DIV/0!</v>
      </c>
      <c r="T114" s="61" t="e">
        <f t="shared" si="19"/>
        <v>#DIV/0!</v>
      </c>
      <c r="U114" s="4"/>
      <c r="V114" s="45" t="e">
        <f>AVERAGE(V3:V62,V79:V90)</f>
        <v>#VALUE!</v>
      </c>
      <c r="W114" s="50" t="e">
        <f t="shared" ref="W114:AA114" si="20">AVERAGE(W3:W62,W79:W90)</f>
        <v>#VALUE!</v>
      </c>
      <c r="X114" s="50" t="e">
        <f t="shared" si="20"/>
        <v>#VALUE!</v>
      </c>
      <c r="Y114" s="45" t="e">
        <f t="shared" si="20"/>
        <v>#VALUE!</v>
      </c>
      <c r="Z114" s="50" t="e">
        <f t="shared" si="20"/>
        <v>#VALUE!</v>
      </c>
      <c r="AA114" s="51" t="e">
        <f t="shared" si="20"/>
        <v>#VALUE!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</row>
    <row r="121" spans="1:27" x14ac:dyDescent="0.2">
      <c r="B121" s="1" t="s">
        <v>70</v>
      </c>
    </row>
    <row r="122" spans="1:27" x14ac:dyDescent="0.2">
      <c r="B122" s="1" t="s">
        <v>1</v>
      </c>
      <c r="I122" s="15">
        <f>SUM(I$27:I$46)</f>
        <v>0</v>
      </c>
      <c r="J122" s="15">
        <f>SUM(J$27:J$46)</f>
        <v>56.520409999999998</v>
      </c>
      <c r="Q122" s="15">
        <f>SUM(Q$27:Q$46)</f>
        <v>0</v>
      </c>
      <c r="R122" s="15">
        <f>SUM(R$27:R$46)</f>
        <v>0</v>
      </c>
      <c r="S122" s="15" t="e">
        <f t="shared" ref="S122:S127" si="21">R122/I122</f>
        <v>#DIV/0!</v>
      </c>
      <c r="T122" s="15" t="e">
        <f t="shared" ref="T122:T127" si="22">Q122/H122</f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 t="shared" si="21"/>
        <v>#DIV/0!</v>
      </c>
      <c r="T123" s="15" t="e">
        <f t="shared" si="22"/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 t="shared" si="21"/>
        <v>#DIV/0!</v>
      </c>
      <c r="T124" s="15" t="e">
        <f t="shared" si="22"/>
        <v>#DIV/0!</v>
      </c>
    </row>
    <row r="125" spans="1:27" x14ac:dyDescent="0.2">
      <c r="B125" s="1" t="s">
        <v>7</v>
      </c>
      <c r="I125" s="15">
        <f>SUM(I$79:I$90)</f>
        <v>0</v>
      </c>
      <c r="J125" s="15">
        <f>SUM(J$79:J$90)</f>
        <v>18.227993333333337</v>
      </c>
      <c r="Q125" s="15">
        <f>SUM(Q$79:Q$90)</f>
        <v>0</v>
      </c>
      <c r="R125" s="15">
        <f>SUM(R$79:R$90)</f>
        <v>0</v>
      </c>
      <c r="S125" s="15" t="e">
        <f t="shared" si="21"/>
        <v>#DIV/0!</v>
      </c>
      <c r="T125" s="15" t="e">
        <f t="shared" si="22"/>
        <v>#DIV/0!</v>
      </c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 t="shared" si="21"/>
        <v>#DIV/0!</v>
      </c>
      <c r="T126" s="15" t="e">
        <f t="shared" si="22"/>
        <v>#DIV/0!</v>
      </c>
    </row>
    <row r="127" spans="1:27" x14ac:dyDescent="0.2">
      <c r="B127" s="1" t="s">
        <v>8</v>
      </c>
      <c r="I127" s="15">
        <f>SUM(I120:I126)</f>
        <v>0</v>
      </c>
      <c r="J127" s="15">
        <f>SUM(J120:J126)</f>
        <v>74.748403333333329</v>
      </c>
      <c r="Q127" s="15">
        <f>SUM(Q120:Q126)</f>
        <v>0</v>
      </c>
      <c r="R127" s="15">
        <f>SUM(R120:R126)</f>
        <v>0</v>
      </c>
      <c r="S127" s="15" t="e">
        <f t="shared" si="21"/>
        <v>#DIV/0!</v>
      </c>
      <c r="T127" s="15" t="e">
        <f t="shared" si="22"/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/>
      <c r="J130" s="15"/>
      <c r="Q130" s="15"/>
      <c r="R130" s="15"/>
      <c r="S130" s="15"/>
      <c r="T130" s="15"/>
    </row>
    <row r="131" spans="2:20" x14ac:dyDescent="0.2">
      <c r="B131" s="1" t="s">
        <v>70</v>
      </c>
      <c r="I131" s="15"/>
      <c r="J131" s="15"/>
      <c r="Q131" s="15"/>
      <c r="R131" s="15"/>
      <c r="S131" s="15"/>
      <c r="T131" s="15"/>
    </row>
    <row r="132" spans="2:20" x14ac:dyDescent="0.2">
      <c r="B132" s="1" t="s">
        <v>1</v>
      </c>
      <c r="I132" s="15">
        <f>MAX(I$27:I$46)</f>
        <v>0</v>
      </c>
      <c r="J132" s="15">
        <f>MAX(J$27:J$46)</f>
        <v>8.6805294444444439</v>
      </c>
      <c r="Q132" s="15">
        <f>MAX(Q$27:Q$46)</f>
        <v>0</v>
      </c>
      <c r="R132" s="15">
        <f>MAX(R$27:R$46)</f>
        <v>0</v>
      </c>
      <c r="S132" s="15" t="e">
        <f t="shared" ref="S132:S137" si="23">R132/I132</f>
        <v>#DIV/0!</v>
      </c>
      <c r="T132" s="15" t="e">
        <f t="shared" ref="T132:T137" si="24">Q132/H132</f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 t="shared" si="23"/>
        <v>#DIV/0!</v>
      </c>
      <c r="T133" s="15" t="e">
        <f t="shared" si="24"/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 t="shared" si="23"/>
        <v>#DIV/0!</v>
      </c>
      <c r="T134" s="15" t="e">
        <f t="shared" si="24"/>
        <v>#DIV/0!</v>
      </c>
    </row>
    <row r="135" spans="2:20" x14ac:dyDescent="0.2">
      <c r="B135" s="1" t="s">
        <v>7</v>
      </c>
      <c r="I135" s="15">
        <f>MAX(I$79:I$90)</f>
        <v>0</v>
      </c>
      <c r="J135" s="15">
        <f>MAX(J$79:J$90)</f>
        <v>1.8509911111111113</v>
      </c>
      <c r="Q135" s="15">
        <f>MAX(Q$79:Q$90)</f>
        <v>0</v>
      </c>
      <c r="R135" s="15">
        <f>MAX(R$79:R$90)</f>
        <v>0</v>
      </c>
      <c r="S135" s="15" t="e">
        <f t="shared" si="23"/>
        <v>#DIV/0!</v>
      </c>
      <c r="T135" s="15" t="e">
        <f t="shared" si="24"/>
        <v>#DIV/0!</v>
      </c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 t="shared" si="23"/>
        <v>#DIV/0!</v>
      </c>
      <c r="T136" s="15" t="e">
        <f t="shared" si="24"/>
        <v>#DIV/0!</v>
      </c>
    </row>
    <row r="137" spans="2:20" x14ac:dyDescent="0.2">
      <c r="B137" s="1" t="s">
        <v>8</v>
      </c>
      <c r="I137" s="15">
        <f>MAX(I130:I136)</f>
        <v>0</v>
      </c>
      <c r="J137" s="15">
        <f>MAX(J130:J136)</f>
        <v>8.6805294444444439</v>
      </c>
      <c r="Q137" s="15">
        <f>MAX(Q130:Q136)</f>
        <v>0</v>
      </c>
      <c r="R137" s="15">
        <f>MAX(R130:R136)</f>
        <v>0</v>
      </c>
      <c r="S137" s="15" t="e">
        <f t="shared" si="23"/>
        <v>#DIV/0!</v>
      </c>
      <c r="T137" s="15" t="e">
        <f t="shared" si="24"/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AA7">
    <cfRule type="cellIs" dxfId="237" priority="533" operator="greaterThan">
      <formula>0.03</formula>
    </cfRule>
    <cfRule type="cellIs" dxfId="236" priority="534" stopIfTrue="1" operator="lessThan">
      <formula>-0.03</formula>
    </cfRule>
  </conditionalFormatting>
  <conditionalFormatting sqref="Z11">
    <cfRule type="cellIs" dxfId="235" priority="529" operator="greaterThan">
      <formula>0.03</formula>
    </cfRule>
    <cfRule type="cellIs" dxfId="234" priority="530" stopIfTrue="1" operator="lessThan">
      <formula>-0.03</formula>
    </cfRule>
  </conditionalFormatting>
  <conditionalFormatting sqref="Y6:Z6">
    <cfRule type="cellIs" dxfId="233" priority="519" operator="greaterThan">
      <formula>0.03</formula>
    </cfRule>
    <cfRule type="cellIs" dxfId="232" priority="520" stopIfTrue="1" operator="lessThan">
      <formula>-0.03</formula>
    </cfRule>
  </conditionalFormatting>
  <conditionalFormatting sqref="Y14:Z14">
    <cfRule type="cellIs" dxfId="231" priority="515" operator="greaterThan">
      <formula>0.03</formula>
    </cfRule>
    <cfRule type="cellIs" dxfId="230" priority="516" stopIfTrue="1" operator="lessThan">
      <formula>-0.03</formula>
    </cfRule>
  </conditionalFormatting>
  <conditionalFormatting sqref="V114:AA114">
    <cfRule type="cellIs" dxfId="229" priority="471" operator="greaterThan">
      <formula>0.03</formula>
    </cfRule>
    <cfRule type="cellIs" dxfId="228" priority="472" stopIfTrue="1" operator="lessThan">
      <formula>-0.03</formula>
    </cfRule>
  </conditionalFormatting>
  <conditionalFormatting sqref="Y23">
    <cfRule type="cellIs" dxfId="227" priority="433" operator="greaterThan">
      <formula>0.03</formula>
    </cfRule>
    <cfRule type="cellIs" dxfId="226" priority="434" stopIfTrue="1" operator="lessThan">
      <formula>-0.03</formula>
    </cfRule>
  </conditionalFormatting>
  <conditionalFormatting sqref="Z19">
    <cfRule type="cellIs" dxfId="225" priority="437" operator="greaterThan">
      <formula>0.03</formula>
    </cfRule>
    <cfRule type="cellIs" dxfId="224" priority="438" stopIfTrue="1" operator="lessThan">
      <formula>-0.03</formula>
    </cfRule>
  </conditionalFormatting>
  <conditionalFormatting sqref="AA19">
    <cfRule type="cellIs" dxfId="223" priority="435" operator="greaterThan">
      <formula>0.03</formula>
    </cfRule>
    <cfRule type="cellIs" dxfId="222" priority="436" stopIfTrue="1" operator="lessThan">
      <formula>-0.03</formula>
    </cfRule>
  </conditionalFormatting>
  <conditionalFormatting sqref="Z35">
    <cfRule type="cellIs" dxfId="221" priority="343" operator="greaterThan">
      <formula>0.03</formula>
    </cfRule>
    <cfRule type="cellIs" dxfId="220" priority="344" stopIfTrue="1" operator="lessThan">
      <formula>-0.03</formula>
    </cfRule>
  </conditionalFormatting>
  <conditionalFormatting sqref="Y31">
    <cfRule type="cellIs" dxfId="219" priority="351" operator="greaterThan">
      <formula>0.03</formula>
    </cfRule>
    <cfRule type="cellIs" dxfId="218" priority="352" stopIfTrue="1" operator="lessThan">
      <formula>-0.03</formula>
    </cfRule>
  </conditionalFormatting>
  <conditionalFormatting sqref="AA27">
    <cfRule type="cellIs" dxfId="217" priority="367" operator="greaterThan">
      <formula>0.03</formula>
    </cfRule>
    <cfRule type="cellIs" dxfId="216" priority="368" stopIfTrue="1" operator="lessThan">
      <formula>-0.03</formula>
    </cfRule>
  </conditionalFormatting>
  <conditionalFormatting sqref="Y30:Z30">
    <cfRule type="cellIs" dxfId="215" priority="365" operator="greaterThan">
      <formula>0.03</formula>
    </cfRule>
    <cfRule type="cellIs" dxfId="214" priority="366" stopIfTrue="1" operator="lessThan">
      <formula>-0.03</formula>
    </cfRule>
  </conditionalFormatting>
  <conditionalFormatting sqref="AA35">
    <cfRule type="cellIs" dxfId="213" priority="341" operator="greaterThan">
      <formula>0.03</formula>
    </cfRule>
    <cfRule type="cellIs" dxfId="212" priority="342" stopIfTrue="1" operator="lessThan">
      <formula>-0.03</formula>
    </cfRule>
  </conditionalFormatting>
  <conditionalFormatting sqref="Y34:Z34">
    <cfRule type="cellIs" dxfId="211" priority="339" operator="greaterThan">
      <formula>0.03</formula>
    </cfRule>
    <cfRule type="cellIs" dxfId="210" priority="340" stopIfTrue="1" operator="lessThan">
      <formula>-0.03</formula>
    </cfRule>
  </conditionalFormatting>
  <conditionalFormatting sqref="Y38:Z38">
    <cfRule type="cellIs" dxfId="209" priority="337" operator="greaterThan">
      <formula>0.03</formula>
    </cfRule>
    <cfRule type="cellIs" dxfId="208" priority="338" stopIfTrue="1" operator="lessThan">
      <formula>-0.03</formula>
    </cfRule>
  </conditionalFormatting>
  <conditionalFormatting sqref="V31:X38">
    <cfRule type="cellIs" dxfId="207" priority="353" operator="greaterThan">
      <formula>0.03</formula>
    </cfRule>
    <cfRule type="cellIs" dxfId="206" priority="354" stopIfTrue="1" operator="lessThan">
      <formula>-0.03</formula>
    </cfRule>
  </conditionalFormatting>
  <conditionalFormatting sqref="Z31">
    <cfRule type="cellIs" dxfId="205" priority="349" operator="greaterThan">
      <formula>0.03</formula>
    </cfRule>
    <cfRule type="cellIs" dxfId="204" priority="350" stopIfTrue="1" operator="lessThan">
      <formula>-0.03</formula>
    </cfRule>
  </conditionalFormatting>
  <conditionalFormatting sqref="AA31">
    <cfRule type="cellIs" dxfId="203" priority="347" operator="greaterThan">
      <formula>0.03</formula>
    </cfRule>
    <cfRule type="cellIs" dxfId="202" priority="348" stopIfTrue="1" operator="lessThan">
      <formula>-0.03</formula>
    </cfRule>
  </conditionalFormatting>
  <conditionalFormatting sqref="Y35">
    <cfRule type="cellIs" dxfId="201" priority="345" operator="greaterThan">
      <formula>0.03</formula>
    </cfRule>
    <cfRule type="cellIs" dxfId="200" priority="346" stopIfTrue="1" operator="lessThan">
      <formula>-0.03</formula>
    </cfRule>
  </conditionalFormatting>
  <conditionalFormatting sqref="V39:X46">
    <cfRule type="cellIs" dxfId="199" priority="315" operator="greaterThan">
      <formula>0.03</formula>
    </cfRule>
    <cfRule type="cellIs" dxfId="198" priority="316" stopIfTrue="1" operator="lessThan">
      <formula>-0.03</formula>
    </cfRule>
  </conditionalFormatting>
  <conditionalFormatting sqref="Y39">
    <cfRule type="cellIs" dxfId="197" priority="313" operator="greaterThan">
      <formula>0.03</formula>
    </cfRule>
    <cfRule type="cellIs" dxfId="196" priority="314" stopIfTrue="1" operator="lessThan">
      <formula>-0.03</formula>
    </cfRule>
  </conditionalFormatting>
  <conditionalFormatting sqref="Z39">
    <cfRule type="cellIs" dxfId="195" priority="311" operator="greaterThan">
      <formula>0.03</formula>
    </cfRule>
    <cfRule type="cellIs" dxfId="194" priority="312" stopIfTrue="1" operator="lessThan">
      <formula>-0.03</formula>
    </cfRule>
  </conditionalFormatting>
  <conditionalFormatting sqref="AA39">
    <cfRule type="cellIs" dxfId="193" priority="309" operator="greaterThan">
      <formula>0.03</formula>
    </cfRule>
    <cfRule type="cellIs" dxfId="192" priority="310" stopIfTrue="1" operator="lessThan">
      <formula>-0.03</formula>
    </cfRule>
  </conditionalFormatting>
  <conditionalFormatting sqref="Y43">
    <cfRule type="cellIs" dxfId="191" priority="307" operator="greaterThan">
      <formula>0.03</formula>
    </cfRule>
    <cfRule type="cellIs" dxfId="190" priority="308" stopIfTrue="1" operator="lessThan">
      <formula>-0.03</formula>
    </cfRule>
  </conditionalFormatting>
  <conditionalFormatting sqref="Z43">
    <cfRule type="cellIs" dxfId="189" priority="305" operator="greaterThan">
      <formula>0.03</formula>
    </cfRule>
    <cfRule type="cellIs" dxfId="188" priority="306" stopIfTrue="1" operator="lessThan">
      <formula>-0.03</formula>
    </cfRule>
  </conditionalFormatting>
  <conditionalFormatting sqref="AA43">
    <cfRule type="cellIs" dxfId="187" priority="303" operator="greaterThan">
      <formula>0.03</formula>
    </cfRule>
    <cfRule type="cellIs" dxfId="186" priority="304" stopIfTrue="1" operator="lessThan">
      <formula>-0.03</formula>
    </cfRule>
  </conditionalFormatting>
  <conditionalFormatting sqref="Y42:Z42">
    <cfRule type="cellIs" dxfId="185" priority="301" operator="greaterThan">
      <formula>0.03</formula>
    </cfRule>
    <cfRule type="cellIs" dxfId="184" priority="302" stopIfTrue="1" operator="lessThan">
      <formula>-0.03</formula>
    </cfRule>
  </conditionalFormatting>
  <conditionalFormatting sqref="Y46:Z46">
    <cfRule type="cellIs" dxfId="183" priority="299" operator="greaterThan">
      <formula>0.03</formula>
    </cfRule>
    <cfRule type="cellIs" dxfId="182" priority="300" stopIfTrue="1" operator="lessThan">
      <formula>-0.03</formula>
    </cfRule>
  </conditionalFormatting>
  <conditionalFormatting sqref="V47:X62">
    <cfRule type="cellIs" dxfId="181" priority="277" operator="greaterThan">
      <formula>0.03</formula>
    </cfRule>
    <cfRule type="cellIs" dxfId="180" priority="278" stopIfTrue="1" operator="lessThan">
      <formula>-0.03</formula>
    </cfRule>
  </conditionalFormatting>
  <conditionalFormatting sqref="Y47">
    <cfRule type="cellIs" dxfId="179" priority="275" operator="greaterThan">
      <formula>0.03</formula>
    </cfRule>
    <cfRule type="cellIs" dxfId="178" priority="276" stopIfTrue="1" operator="lessThan">
      <formula>-0.03</formula>
    </cfRule>
  </conditionalFormatting>
  <conditionalFormatting sqref="Z47">
    <cfRule type="cellIs" dxfId="177" priority="273" operator="greaterThan">
      <formula>0.03</formula>
    </cfRule>
    <cfRule type="cellIs" dxfId="176" priority="274" stopIfTrue="1" operator="lessThan">
      <formula>-0.03</formula>
    </cfRule>
  </conditionalFormatting>
  <conditionalFormatting sqref="AA47">
    <cfRule type="cellIs" dxfId="175" priority="271" operator="greaterThan">
      <formula>0.03</formula>
    </cfRule>
    <cfRule type="cellIs" dxfId="174" priority="272" stopIfTrue="1" operator="lessThan">
      <formula>-0.03</formula>
    </cfRule>
  </conditionalFormatting>
  <conditionalFormatting sqref="Y51">
    <cfRule type="cellIs" dxfId="173" priority="269" operator="greaterThan">
      <formula>0.03</formula>
    </cfRule>
    <cfRule type="cellIs" dxfId="172" priority="270" stopIfTrue="1" operator="lessThan">
      <formula>-0.03</formula>
    </cfRule>
  </conditionalFormatting>
  <conditionalFormatting sqref="Z51">
    <cfRule type="cellIs" dxfId="171" priority="267" operator="greaterThan">
      <formula>0.03</formula>
    </cfRule>
    <cfRule type="cellIs" dxfId="170" priority="268" stopIfTrue="1" operator="lessThan">
      <formula>-0.03</formula>
    </cfRule>
  </conditionalFormatting>
  <conditionalFormatting sqref="AA51">
    <cfRule type="cellIs" dxfId="169" priority="265" operator="greaterThan">
      <formula>0.03</formula>
    </cfRule>
    <cfRule type="cellIs" dxfId="168" priority="266" stopIfTrue="1" operator="lessThan">
      <formula>-0.03</formula>
    </cfRule>
  </conditionalFormatting>
  <conditionalFormatting sqref="Y55">
    <cfRule type="cellIs" dxfId="167" priority="263" operator="greaterThan">
      <formula>0.03</formula>
    </cfRule>
    <cfRule type="cellIs" dxfId="166" priority="264" stopIfTrue="1" operator="lessThan">
      <formula>-0.03</formula>
    </cfRule>
  </conditionalFormatting>
  <conditionalFormatting sqref="Z55">
    <cfRule type="cellIs" dxfId="165" priority="261" operator="greaterThan">
      <formula>0.03</formula>
    </cfRule>
    <cfRule type="cellIs" dxfId="164" priority="262" stopIfTrue="1" operator="lessThan">
      <formula>-0.03</formula>
    </cfRule>
  </conditionalFormatting>
  <conditionalFormatting sqref="AA55">
    <cfRule type="cellIs" dxfId="163" priority="259" operator="greaterThan">
      <formula>0.03</formula>
    </cfRule>
    <cfRule type="cellIs" dxfId="162" priority="260" stopIfTrue="1" operator="lessThan">
      <formula>-0.03</formula>
    </cfRule>
  </conditionalFormatting>
  <conditionalFormatting sqref="Y59">
    <cfRule type="cellIs" dxfId="161" priority="257" operator="greaterThan">
      <formula>0.03</formula>
    </cfRule>
    <cfRule type="cellIs" dxfId="160" priority="258" stopIfTrue="1" operator="lessThan">
      <formula>-0.03</formula>
    </cfRule>
  </conditionalFormatting>
  <conditionalFormatting sqref="Z59">
    <cfRule type="cellIs" dxfId="159" priority="255" operator="greaterThan">
      <formula>0.03</formula>
    </cfRule>
    <cfRule type="cellIs" dxfId="158" priority="256" stopIfTrue="1" operator="lessThan">
      <formula>-0.03</formula>
    </cfRule>
  </conditionalFormatting>
  <conditionalFormatting sqref="AA59">
    <cfRule type="cellIs" dxfId="157" priority="253" operator="greaterThan">
      <formula>0.03</formula>
    </cfRule>
    <cfRule type="cellIs" dxfId="156" priority="254" stopIfTrue="1" operator="lessThan">
      <formula>-0.03</formula>
    </cfRule>
  </conditionalFormatting>
  <conditionalFormatting sqref="Y50:Z50">
    <cfRule type="cellIs" dxfId="155" priority="251" operator="greaterThan">
      <formula>0.03</formula>
    </cfRule>
    <cfRule type="cellIs" dxfId="154" priority="252" stopIfTrue="1" operator="lessThan">
      <formula>-0.03</formula>
    </cfRule>
  </conditionalFormatting>
  <conditionalFormatting sqref="Y54:Z54">
    <cfRule type="cellIs" dxfId="153" priority="249" operator="greaterThan">
      <formula>0.03</formula>
    </cfRule>
    <cfRule type="cellIs" dxfId="152" priority="250" stopIfTrue="1" operator="lessThan">
      <formula>-0.03</formula>
    </cfRule>
  </conditionalFormatting>
  <conditionalFormatting sqref="Y58:Z58">
    <cfRule type="cellIs" dxfId="151" priority="247" operator="greaterThan">
      <formula>0.03</formula>
    </cfRule>
    <cfRule type="cellIs" dxfId="150" priority="248" stopIfTrue="1" operator="lessThan">
      <formula>-0.03</formula>
    </cfRule>
  </conditionalFormatting>
  <conditionalFormatting sqref="Y62:Z62">
    <cfRule type="cellIs" dxfId="149" priority="245" operator="greaterThan">
      <formula>0.03</formula>
    </cfRule>
    <cfRule type="cellIs" dxfId="148" priority="246" stopIfTrue="1" operator="lessThan">
      <formula>-0.03</formula>
    </cfRule>
  </conditionalFormatting>
  <conditionalFormatting sqref="V63:X78">
    <cfRule type="cellIs" dxfId="147" priority="203" operator="greaterThan">
      <formula>0.03</formula>
    </cfRule>
    <cfRule type="cellIs" dxfId="146" priority="204" stopIfTrue="1" operator="lessThan">
      <formula>-0.03</formula>
    </cfRule>
  </conditionalFormatting>
  <conditionalFormatting sqref="Y63">
    <cfRule type="cellIs" dxfId="145" priority="201" operator="greaterThan">
      <formula>0.03</formula>
    </cfRule>
    <cfRule type="cellIs" dxfId="144" priority="202" stopIfTrue="1" operator="lessThan">
      <formula>-0.03</formula>
    </cfRule>
  </conditionalFormatting>
  <conditionalFormatting sqref="Z63">
    <cfRule type="cellIs" dxfId="143" priority="199" operator="greaterThan">
      <formula>0.03</formula>
    </cfRule>
    <cfRule type="cellIs" dxfId="142" priority="200" stopIfTrue="1" operator="lessThan">
      <formula>-0.03</formula>
    </cfRule>
  </conditionalFormatting>
  <conditionalFormatting sqref="AA63">
    <cfRule type="cellIs" dxfId="141" priority="197" operator="greaterThan">
      <formula>0.03</formula>
    </cfRule>
    <cfRule type="cellIs" dxfId="140" priority="198" stopIfTrue="1" operator="lessThan">
      <formula>-0.03</formula>
    </cfRule>
  </conditionalFormatting>
  <conditionalFormatting sqref="Z67">
    <cfRule type="cellIs" dxfId="139" priority="193" operator="greaterThan">
      <formula>0.03</formula>
    </cfRule>
    <cfRule type="cellIs" dxfId="138" priority="194" stopIfTrue="1" operator="lessThan">
      <formula>-0.03</formula>
    </cfRule>
  </conditionalFormatting>
  <conditionalFormatting sqref="AA67">
    <cfRule type="cellIs" dxfId="137" priority="191" operator="greaterThan">
      <formula>0.03</formula>
    </cfRule>
    <cfRule type="cellIs" dxfId="136" priority="192" stopIfTrue="1" operator="lessThan">
      <formula>-0.03</formula>
    </cfRule>
  </conditionalFormatting>
  <conditionalFormatting sqref="Y71">
    <cfRule type="cellIs" dxfId="135" priority="189" operator="greaterThan">
      <formula>0.03</formula>
    </cfRule>
    <cfRule type="cellIs" dxfId="134" priority="190" stopIfTrue="1" operator="lessThan">
      <formula>-0.03</formula>
    </cfRule>
  </conditionalFormatting>
  <conditionalFormatting sqref="Z71">
    <cfRule type="cellIs" dxfId="133" priority="187" operator="greaterThan">
      <formula>0.03</formula>
    </cfRule>
    <cfRule type="cellIs" dxfId="132" priority="188" stopIfTrue="1" operator="lessThan">
      <formula>-0.03</formula>
    </cfRule>
  </conditionalFormatting>
  <conditionalFormatting sqref="Y67">
    <cfRule type="cellIs" dxfId="131" priority="195" operator="greaterThan">
      <formula>0.03</formula>
    </cfRule>
    <cfRule type="cellIs" dxfId="130" priority="196" stopIfTrue="1" operator="lessThan">
      <formula>-0.03</formula>
    </cfRule>
  </conditionalFormatting>
  <conditionalFormatting sqref="Y75">
    <cfRule type="cellIs" dxfId="129" priority="183" operator="greaterThan">
      <formula>0.03</formula>
    </cfRule>
    <cfRule type="cellIs" dxfId="128" priority="184" stopIfTrue="1" operator="lessThan">
      <formula>-0.03</formula>
    </cfRule>
  </conditionalFormatting>
  <conditionalFormatting sqref="Z75">
    <cfRule type="cellIs" dxfId="127" priority="181" operator="greaterThan">
      <formula>0.03</formula>
    </cfRule>
    <cfRule type="cellIs" dxfId="126" priority="182" stopIfTrue="1" operator="lessThan">
      <formula>-0.03</formula>
    </cfRule>
  </conditionalFormatting>
  <conditionalFormatting sqref="AA75">
    <cfRule type="cellIs" dxfId="125" priority="179" operator="greaterThan">
      <formula>0.03</formula>
    </cfRule>
    <cfRule type="cellIs" dxfId="124" priority="180" stopIfTrue="1" operator="lessThan">
      <formula>-0.03</formula>
    </cfRule>
  </conditionalFormatting>
  <conditionalFormatting sqref="Y66:Z66">
    <cfRule type="cellIs" dxfId="123" priority="177" operator="greaterThan">
      <formula>0.03</formula>
    </cfRule>
    <cfRule type="cellIs" dxfId="122" priority="178" stopIfTrue="1" operator="lessThan">
      <formula>-0.03</formula>
    </cfRule>
  </conditionalFormatting>
  <conditionalFormatting sqref="AA71">
    <cfRule type="cellIs" dxfId="121" priority="185" operator="greaterThan">
      <formula>0.03</formula>
    </cfRule>
    <cfRule type="cellIs" dxfId="120" priority="186" stopIfTrue="1" operator="lessThan">
      <formula>-0.03</formula>
    </cfRule>
  </conditionalFormatting>
  <conditionalFormatting sqref="Y70:Z70">
    <cfRule type="cellIs" dxfId="119" priority="175" operator="greaterThan">
      <formula>0.03</formula>
    </cfRule>
    <cfRule type="cellIs" dxfId="118" priority="176" stopIfTrue="1" operator="lessThan">
      <formula>-0.03</formula>
    </cfRule>
  </conditionalFormatting>
  <conditionalFormatting sqref="Y74:Z74">
    <cfRule type="cellIs" dxfId="117" priority="173" operator="greaterThan">
      <formula>0.03</formula>
    </cfRule>
    <cfRule type="cellIs" dxfId="116" priority="174" stopIfTrue="1" operator="lessThan">
      <formula>-0.03</formula>
    </cfRule>
  </conditionalFormatting>
  <conditionalFormatting sqref="Y78:Z78">
    <cfRule type="cellIs" dxfId="115" priority="171" operator="greaterThan">
      <formula>0.03</formula>
    </cfRule>
    <cfRule type="cellIs" dxfId="114" priority="172" stopIfTrue="1" operator="lessThan">
      <formula>-0.03</formula>
    </cfRule>
  </conditionalFormatting>
  <conditionalFormatting sqref="V3:X14">
    <cfRule type="cellIs" dxfId="113" priority="545" operator="greaterThan">
      <formula>0.03</formula>
    </cfRule>
    <cfRule type="cellIs" dxfId="112" priority="546" stopIfTrue="1" operator="lessThan">
      <formula>-0.03</formula>
    </cfRule>
  </conditionalFormatting>
  <conditionalFormatting sqref="Y3">
    <cfRule type="cellIs" dxfId="111" priority="543" operator="greaterThan">
      <formula>0.03</formula>
    </cfRule>
    <cfRule type="cellIs" dxfId="110" priority="544" stopIfTrue="1" operator="lessThan">
      <formula>-0.03</formula>
    </cfRule>
  </conditionalFormatting>
  <conditionalFormatting sqref="Z3">
    <cfRule type="cellIs" dxfId="109" priority="541" operator="greaterThan">
      <formula>0.03</formula>
    </cfRule>
    <cfRule type="cellIs" dxfId="108" priority="542" stopIfTrue="1" operator="lessThan">
      <formula>-0.03</formula>
    </cfRule>
  </conditionalFormatting>
  <conditionalFormatting sqref="AA3">
    <cfRule type="cellIs" dxfId="107" priority="539" operator="greaterThan">
      <formula>0.03</formula>
    </cfRule>
    <cfRule type="cellIs" dxfId="106" priority="540" stopIfTrue="1" operator="lessThan">
      <formula>-0.03</formula>
    </cfRule>
  </conditionalFormatting>
  <conditionalFormatting sqref="Y7">
    <cfRule type="cellIs" dxfId="105" priority="537" operator="greaterThan">
      <formula>0.03</formula>
    </cfRule>
    <cfRule type="cellIs" dxfId="104" priority="538" stopIfTrue="1" operator="lessThan">
      <formula>-0.03</formula>
    </cfRule>
  </conditionalFormatting>
  <conditionalFormatting sqref="Z7">
    <cfRule type="cellIs" dxfId="103" priority="535" operator="greaterThan">
      <formula>0.03</formula>
    </cfRule>
    <cfRule type="cellIs" dxfId="102" priority="536" stopIfTrue="1" operator="lessThan">
      <formula>-0.03</formula>
    </cfRule>
  </conditionalFormatting>
  <conditionalFormatting sqref="Y11">
    <cfRule type="cellIs" dxfId="101" priority="531" operator="greaterThan">
      <formula>0.03</formula>
    </cfRule>
    <cfRule type="cellIs" dxfId="100" priority="532" stopIfTrue="1" operator="lessThan">
      <formula>-0.03</formula>
    </cfRule>
  </conditionalFormatting>
  <conditionalFormatting sqref="AA11">
    <cfRule type="cellIs" dxfId="99" priority="527" operator="greaterThan">
      <formula>0.03</formula>
    </cfRule>
    <cfRule type="cellIs" dxfId="98" priority="528" stopIfTrue="1" operator="lessThan">
      <formula>-0.03</formula>
    </cfRule>
  </conditionalFormatting>
  <conditionalFormatting sqref="Y10:Z10">
    <cfRule type="cellIs" dxfId="97" priority="517" operator="greaterThan">
      <formula>0.03</formula>
    </cfRule>
    <cfRule type="cellIs" dxfId="96" priority="518" stopIfTrue="1" operator="lessThan">
      <formula>-0.03</formula>
    </cfRule>
  </conditionalFormatting>
  <conditionalFormatting sqref="V111:AA112">
    <cfRule type="cellIs" dxfId="95" priority="469" operator="greaterThan">
      <formula>0.03</formula>
    </cfRule>
    <cfRule type="cellIs" dxfId="94" priority="470" stopIfTrue="1" operator="lessThan">
      <formula>-0.03</formula>
    </cfRule>
  </conditionalFormatting>
  <conditionalFormatting sqref="V107:AA107 V109:AA109">
    <cfRule type="cellIs" dxfId="93" priority="467" operator="greaterThan">
      <formula>0.03</formula>
    </cfRule>
    <cfRule type="cellIs" dxfId="92" priority="468" stopIfTrue="1" operator="lessThan">
      <formula>-0.03</formula>
    </cfRule>
  </conditionalFormatting>
  <conditionalFormatting sqref="Y19">
    <cfRule type="cellIs" dxfId="91" priority="439" operator="greaterThan">
      <formula>0.03</formula>
    </cfRule>
    <cfRule type="cellIs" dxfId="90" priority="440" stopIfTrue="1" operator="lessThan">
      <formula>-0.03</formula>
    </cfRule>
  </conditionalFormatting>
  <conditionalFormatting sqref="V108:AA108">
    <cfRule type="cellIs" dxfId="89" priority="461" operator="greaterThan">
      <formula>0.03</formula>
    </cfRule>
    <cfRule type="cellIs" dxfId="88" priority="462" stopIfTrue="1" operator="lessThan">
      <formula>-0.03</formula>
    </cfRule>
  </conditionalFormatting>
  <conditionalFormatting sqref="V15:X26">
    <cfRule type="cellIs" dxfId="87" priority="447" operator="greaterThan">
      <formula>0.03</formula>
    </cfRule>
    <cfRule type="cellIs" dxfId="86" priority="448" stopIfTrue="1" operator="lessThan">
      <formula>-0.03</formula>
    </cfRule>
  </conditionalFormatting>
  <conditionalFormatting sqref="Y15">
    <cfRule type="cellIs" dxfId="85" priority="445" operator="greaterThan">
      <formula>0.03</formula>
    </cfRule>
    <cfRule type="cellIs" dxfId="84" priority="446" stopIfTrue="1" operator="lessThan">
      <formula>-0.03</formula>
    </cfRule>
  </conditionalFormatting>
  <conditionalFormatting sqref="V110:AA110">
    <cfRule type="cellIs" dxfId="83" priority="465" operator="greaterThan">
      <formula>0.03</formula>
    </cfRule>
    <cfRule type="cellIs" dxfId="82" priority="466" stopIfTrue="1" operator="lessThan">
      <formula>-0.03</formula>
    </cfRule>
  </conditionalFormatting>
  <conditionalFormatting sqref="V113:AA113">
    <cfRule type="cellIs" dxfId="81" priority="463" operator="greaterThan">
      <formula>0.03</formula>
    </cfRule>
    <cfRule type="cellIs" dxfId="80" priority="464" stopIfTrue="1" operator="lessThan">
      <formula>-0.03</formula>
    </cfRule>
  </conditionalFormatting>
  <conditionalFormatting sqref="Z15">
    <cfRule type="cellIs" dxfId="79" priority="443" operator="greaterThan">
      <formula>0.03</formula>
    </cfRule>
    <cfRule type="cellIs" dxfId="78" priority="444" stopIfTrue="1" operator="lessThan">
      <formula>-0.03</formula>
    </cfRule>
  </conditionalFormatting>
  <conditionalFormatting sqref="AA15">
    <cfRule type="cellIs" dxfId="77" priority="441" operator="greaterThan">
      <formula>0.03</formula>
    </cfRule>
    <cfRule type="cellIs" dxfId="76" priority="442" stopIfTrue="1" operator="lessThan">
      <formula>-0.03</formula>
    </cfRule>
  </conditionalFormatting>
  <conditionalFormatting sqref="Z23">
    <cfRule type="cellIs" dxfId="75" priority="431" operator="greaterThan">
      <formula>0.03</formula>
    </cfRule>
    <cfRule type="cellIs" dxfId="74" priority="432" stopIfTrue="1" operator="lessThan">
      <formula>-0.03</formula>
    </cfRule>
  </conditionalFormatting>
  <conditionalFormatting sqref="AA23">
    <cfRule type="cellIs" dxfId="73" priority="429" operator="greaterThan">
      <formula>0.03</formula>
    </cfRule>
    <cfRule type="cellIs" dxfId="72" priority="430" stopIfTrue="1" operator="lessThan">
      <formula>-0.03</formula>
    </cfRule>
  </conditionalFormatting>
  <conditionalFormatting sqref="Y18:Z18">
    <cfRule type="cellIs" dxfId="71" priority="421" operator="greaterThan">
      <formula>0.03</formula>
    </cfRule>
    <cfRule type="cellIs" dxfId="70" priority="422" stopIfTrue="1" operator="lessThan">
      <formula>-0.03</formula>
    </cfRule>
  </conditionalFormatting>
  <conditionalFormatting sqref="Y22:Z22">
    <cfRule type="cellIs" dxfId="69" priority="419" operator="greaterThan">
      <formula>0.03</formula>
    </cfRule>
    <cfRule type="cellIs" dxfId="68" priority="420" stopIfTrue="1" operator="lessThan">
      <formula>-0.03</formula>
    </cfRule>
  </conditionalFormatting>
  <conditionalFormatting sqref="Y26:Z26">
    <cfRule type="cellIs" dxfId="67" priority="417" operator="greaterThan">
      <formula>0.03</formula>
    </cfRule>
    <cfRule type="cellIs" dxfId="66" priority="418" stopIfTrue="1" operator="lessThan">
      <formula>-0.03</formula>
    </cfRule>
  </conditionalFormatting>
  <conditionalFormatting sqref="V27:X30">
    <cfRule type="cellIs" dxfId="65" priority="373" operator="greaterThan">
      <formula>0.03</formula>
    </cfRule>
    <cfRule type="cellIs" dxfId="64" priority="374" stopIfTrue="1" operator="lessThan">
      <formula>-0.03</formula>
    </cfRule>
  </conditionalFormatting>
  <conditionalFormatting sqref="Y27">
    <cfRule type="cellIs" dxfId="63" priority="371" operator="greaterThan">
      <formula>0.03</formula>
    </cfRule>
    <cfRule type="cellIs" dxfId="62" priority="372" stopIfTrue="1" operator="lessThan">
      <formula>-0.03</formula>
    </cfRule>
  </conditionalFormatting>
  <conditionalFormatting sqref="Z27">
    <cfRule type="cellIs" dxfId="61" priority="369" operator="greaterThan">
      <formula>0.03</formula>
    </cfRule>
    <cfRule type="cellIs" dxfId="60" priority="370" stopIfTrue="1" operator="lessThan">
      <formula>-0.03</formula>
    </cfRule>
  </conditionalFormatting>
  <conditionalFormatting sqref="Y102:Z102">
    <cfRule type="cellIs" dxfId="59" priority="99" operator="greaterThan">
      <formula>0.03</formula>
    </cfRule>
    <cfRule type="cellIs" dxfId="58" priority="100" stopIfTrue="1" operator="lessThan">
      <formula>-0.03</formula>
    </cfRule>
  </conditionalFormatting>
  <conditionalFormatting sqref="Y98:Z98">
    <cfRule type="cellIs" dxfId="57" priority="101" operator="greaterThan">
      <formula>0.03</formula>
    </cfRule>
    <cfRule type="cellIs" dxfId="56" priority="102" stopIfTrue="1" operator="lessThan">
      <formula>-0.03</formula>
    </cfRule>
  </conditionalFormatting>
  <conditionalFormatting sqref="Y106:Z106">
    <cfRule type="cellIs" dxfId="55" priority="97" operator="greaterThan">
      <formula>0.03</formula>
    </cfRule>
    <cfRule type="cellIs" dxfId="54" priority="98" stopIfTrue="1" operator="lessThan">
      <formula>-0.03</formula>
    </cfRule>
  </conditionalFormatting>
  <conditionalFormatting sqref="Z83">
    <cfRule type="cellIs" dxfId="53" priority="45" operator="greaterThan">
      <formula>0.03</formula>
    </cfRule>
    <cfRule type="cellIs" dxfId="52" priority="46" stopIfTrue="1" operator="lessThan">
      <formula>-0.03</formula>
    </cfRule>
  </conditionalFormatting>
  <conditionalFormatting sqref="Z87">
    <cfRule type="cellIs" dxfId="51" priority="39" operator="greaterThan">
      <formula>0.03</formula>
    </cfRule>
    <cfRule type="cellIs" dxfId="50" priority="40" stopIfTrue="1" operator="lessThan">
      <formula>-0.03</formula>
    </cfRule>
  </conditionalFormatting>
  <conditionalFormatting sqref="Y83">
    <cfRule type="cellIs" dxfId="49" priority="47" operator="greaterThan">
      <formula>0.03</formula>
    </cfRule>
    <cfRule type="cellIs" dxfId="48" priority="48" stopIfTrue="1" operator="lessThan">
      <formula>-0.03</formula>
    </cfRule>
  </conditionalFormatting>
  <conditionalFormatting sqref="V79:X90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AA79">
    <cfRule type="cellIs" dxfId="45" priority="49" operator="greaterThan">
      <formula>0.03</formula>
    </cfRule>
    <cfRule type="cellIs" dxfId="44" priority="50" stopIfTrue="1" operator="lessThan">
      <formula>-0.03</formula>
    </cfRule>
  </conditionalFormatting>
  <conditionalFormatting sqref="Y87">
    <cfRule type="cellIs" dxfId="43" priority="41" operator="greaterThan">
      <formula>0.03</formula>
    </cfRule>
    <cfRule type="cellIs" dxfId="42" priority="42" stopIfTrue="1" operator="lessThan">
      <formula>-0.03</formula>
    </cfRule>
  </conditionalFormatting>
  <conditionalFormatting sqref="AA87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Y82:Z82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86:Z86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Y79">
    <cfRule type="cellIs" dxfId="35" priority="53" operator="greaterThan">
      <formula>0.03</formula>
    </cfRule>
    <cfRule type="cellIs" dxfId="34" priority="54" stopIfTrue="1" operator="lessThan">
      <formula>-0.03</formula>
    </cfRule>
  </conditionalFormatting>
  <conditionalFormatting sqref="Z79">
    <cfRule type="cellIs" dxfId="33" priority="51" operator="greaterThan">
      <formula>0.03</formula>
    </cfRule>
    <cfRule type="cellIs" dxfId="32" priority="52" stopIfTrue="1" operator="lessThan">
      <formula>-0.03</formula>
    </cfRule>
  </conditionalFormatting>
  <conditionalFormatting sqref="AA83">
    <cfRule type="cellIs" dxfId="31" priority="43" operator="greaterThan">
      <formula>0.03</formula>
    </cfRule>
    <cfRule type="cellIs" dxfId="30" priority="44" stopIfTrue="1" operator="lessThan">
      <formula>-0.03</formula>
    </cfRule>
  </conditionalFormatting>
  <conditionalFormatting sqref="Y90:Z90">
    <cfRule type="cellIs" dxfId="29" priority="31" operator="greaterThan">
      <formula>0.03</formula>
    </cfRule>
    <cfRule type="cellIs" dxfId="28" priority="32" stopIfTrue="1" operator="lessThan">
      <formula>-0.03</formula>
    </cfRule>
  </conditionalFormatting>
  <conditionalFormatting sqref="Y94:Z94">
    <cfRule type="cellIs" dxfId="27" priority="103" operator="greaterThan">
      <formula>0.03</formula>
    </cfRule>
    <cfRule type="cellIs" dxfId="26" priority="104" stopIfTrue="1" operator="lessThan">
      <formula>-0.03</formula>
    </cfRule>
  </conditionalFormatting>
  <conditionalFormatting sqref="Z103">
    <cfRule type="cellIs" dxfId="25" priority="107" operator="greaterThan">
      <formula>0.03</formula>
    </cfRule>
    <cfRule type="cellIs" dxfId="24" priority="108" stopIfTrue="1" operator="lessThan">
      <formula>-0.03</formula>
    </cfRule>
  </conditionalFormatting>
  <conditionalFormatting sqref="Y103">
    <cfRule type="cellIs" dxfId="23" priority="109" operator="greaterThan">
      <formula>0.03</formula>
    </cfRule>
    <cfRule type="cellIs" dxfId="22" priority="110" stopIfTrue="1" operator="lessThan">
      <formula>-0.03</formula>
    </cfRule>
  </conditionalFormatting>
  <conditionalFormatting sqref="AA103">
    <cfRule type="cellIs" dxfId="21" priority="105" operator="greaterThan">
      <formula>0.03</formula>
    </cfRule>
    <cfRule type="cellIs" dxfId="20" priority="106" stopIfTrue="1" operator="lessThan">
      <formula>-0.03</formula>
    </cfRule>
  </conditionalFormatting>
  <conditionalFormatting sqref="Y99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1:X106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1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1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1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95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95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95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99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99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G416"/>
  <sheetViews>
    <sheetView topLeftCell="A384" zoomScale="115" zoomScaleNormal="115" workbookViewId="0">
      <selection activeCell="B389" sqref="B389:B400"/>
    </sheetView>
  </sheetViews>
  <sheetFormatPr defaultColWidth="9" defaultRowHeight="17.25" x14ac:dyDescent="0.3"/>
  <cols>
    <col min="1" max="1" width="57.6640625" customWidth="1"/>
  </cols>
  <sheetData>
    <row r="1" spans="1:1" x14ac:dyDescent="0.3">
      <c r="A1" t="s">
        <v>75</v>
      </c>
    </row>
    <row r="2" spans="1:1" x14ac:dyDescent="0.3">
      <c r="A2" t="s">
        <v>76</v>
      </c>
    </row>
    <row r="3" spans="1:1" x14ac:dyDescent="0.3">
      <c r="A3" t="s">
        <v>77</v>
      </c>
    </row>
    <row r="4" spans="1:1" x14ac:dyDescent="0.3">
      <c r="A4" t="s">
        <v>78</v>
      </c>
    </row>
    <row r="5" spans="1:1" x14ac:dyDescent="0.3">
      <c r="A5" t="s">
        <v>387</v>
      </c>
    </row>
    <row r="6" spans="1:1" x14ac:dyDescent="0.3">
      <c r="A6" t="s">
        <v>388</v>
      </c>
    </row>
    <row r="7" spans="1:1" x14ac:dyDescent="0.3">
      <c r="A7" t="s">
        <v>389</v>
      </c>
    </row>
    <row r="8" spans="1:1" x14ac:dyDescent="0.3">
      <c r="A8" t="s">
        <v>390</v>
      </c>
    </row>
    <row r="9" spans="1:1" x14ac:dyDescent="0.3">
      <c r="A9" t="s">
        <v>498</v>
      </c>
    </row>
    <row r="10" spans="1:1" x14ac:dyDescent="0.3">
      <c r="A10" t="s">
        <v>499</v>
      </c>
    </row>
    <row r="11" spans="1:1" x14ac:dyDescent="0.3">
      <c r="A11" t="s">
        <v>500</v>
      </c>
    </row>
    <row r="12" spans="1:1" x14ac:dyDescent="0.3">
      <c r="A12" t="s">
        <v>501</v>
      </c>
    </row>
    <row r="13" spans="1:1" x14ac:dyDescent="0.3">
      <c r="A13" t="s">
        <v>515</v>
      </c>
    </row>
    <row r="14" spans="1:1" x14ac:dyDescent="0.3">
      <c r="A14" t="s">
        <v>516</v>
      </c>
    </row>
    <row r="15" spans="1:1" x14ac:dyDescent="0.3">
      <c r="A15" t="s">
        <v>517</v>
      </c>
    </row>
    <row r="16" spans="1:1" x14ac:dyDescent="0.3">
      <c r="A16" t="s">
        <v>518</v>
      </c>
    </row>
    <row r="17" spans="1:1" x14ac:dyDescent="0.3">
      <c r="A17" t="s">
        <v>79</v>
      </c>
    </row>
    <row r="18" spans="1:1" x14ac:dyDescent="0.3">
      <c r="A18" t="s">
        <v>80</v>
      </c>
    </row>
    <row r="19" spans="1:1" x14ac:dyDescent="0.3">
      <c r="A19" t="s">
        <v>81</v>
      </c>
    </row>
    <row r="20" spans="1:1" x14ac:dyDescent="0.3">
      <c r="A20" t="s">
        <v>82</v>
      </c>
    </row>
    <row r="21" spans="1:1" x14ac:dyDescent="0.3">
      <c r="A21" t="s">
        <v>391</v>
      </c>
    </row>
    <row r="22" spans="1:1" x14ac:dyDescent="0.3">
      <c r="A22" t="s">
        <v>392</v>
      </c>
    </row>
    <row r="23" spans="1:1" x14ac:dyDescent="0.3">
      <c r="A23" t="s">
        <v>393</v>
      </c>
    </row>
    <row r="24" spans="1:1" x14ac:dyDescent="0.3">
      <c r="A24" t="s">
        <v>394</v>
      </c>
    </row>
    <row r="25" spans="1:1" x14ac:dyDescent="0.3">
      <c r="A25" t="s">
        <v>395</v>
      </c>
    </row>
    <row r="26" spans="1:1" x14ac:dyDescent="0.3">
      <c r="A26" t="s">
        <v>396</v>
      </c>
    </row>
    <row r="27" spans="1:1" x14ac:dyDescent="0.3">
      <c r="A27" t="s">
        <v>397</v>
      </c>
    </row>
    <row r="28" spans="1:1" x14ac:dyDescent="0.3">
      <c r="A28" t="s">
        <v>398</v>
      </c>
    </row>
    <row r="29" spans="1:1" x14ac:dyDescent="0.3">
      <c r="A29" t="s">
        <v>399</v>
      </c>
    </row>
    <row r="30" spans="1:1" x14ac:dyDescent="0.3">
      <c r="A30" t="s">
        <v>400</v>
      </c>
    </row>
    <row r="31" spans="1:1" x14ac:dyDescent="0.3">
      <c r="A31" t="s">
        <v>401</v>
      </c>
    </row>
    <row r="32" spans="1:1" x14ac:dyDescent="0.3">
      <c r="A32" t="s">
        <v>402</v>
      </c>
    </row>
    <row r="33" spans="1:1" x14ac:dyDescent="0.3">
      <c r="A33" t="s">
        <v>83</v>
      </c>
    </row>
    <row r="34" spans="1:1" x14ac:dyDescent="0.3">
      <c r="A34" t="s">
        <v>84</v>
      </c>
    </row>
    <row r="35" spans="1:1" x14ac:dyDescent="0.3">
      <c r="A35" t="s">
        <v>85</v>
      </c>
    </row>
    <row r="36" spans="1:1" x14ac:dyDescent="0.3">
      <c r="A36" t="s">
        <v>86</v>
      </c>
    </row>
    <row r="37" spans="1:1" x14ac:dyDescent="0.3">
      <c r="A37" t="s">
        <v>87</v>
      </c>
    </row>
    <row r="38" spans="1:1" x14ac:dyDescent="0.3">
      <c r="A38" t="s">
        <v>88</v>
      </c>
    </row>
    <row r="39" spans="1:1" x14ac:dyDescent="0.3">
      <c r="A39" t="s">
        <v>89</v>
      </c>
    </row>
    <row r="40" spans="1:1" x14ac:dyDescent="0.3">
      <c r="A40" t="s">
        <v>90</v>
      </c>
    </row>
    <row r="41" spans="1:1" x14ac:dyDescent="0.3">
      <c r="A41" t="s">
        <v>91</v>
      </c>
    </row>
    <row r="42" spans="1:1" x14ac:dyDescent="0.3">
      <c r="A42" t="s">
        <v>92</v>
      </c>
    </row>
    <row r="43" spans="1:1" x14ac:dyDescent="0.3">
      <c r="A43" t="s">
        <v>93</v>
      </c>
    </row>
    <row r="44" spans="1:1" x14ac:dyDescent="0.3">
      <c r="A44" t="s">
        <v>94</v>
      </c>
    </row>
    <row r="45" spans="1:1" x14ac:dyDescent="0.3">
      <c r="A45" t="s">
        <v>534</v>
      </c>
    </row>
    <row r="46" spans="1:1" x14ac:dyDescent="0.3">
      <c r="A46" t="s">
        <v>96</v>
      </c>
    </row>
    <row r="47" spans="1:1" x14ac:dyDescent="0.3">
      <c r="A47" t="s">
        <v>97</v>
      </c>
    </row>
    <row r="48" spans="1:1" x14ac:dyDescent="0.3">
      <c r="A48" t="s">
        <v>98</v>
      </c>
    </row>
    <row r="49" spans="1:2" x14ac:dyDescent="0.3">
      <c r="A49" t="s">
        <v>99</v>
      </c>
    </row>
    <row r="50" spans="1:2" x14ac:dyDescent="0.3">
      <c r="A50" t="s">
        <v>100</v>
      </c>
    </row>
    <row r="51" spans="1:2" x14ac:dyDescent="0.3">
      <c r="A51" t="s">
        <v>101</v>
      </c>
    </row>
    <row r="52" spans="1:2" x14ac:dyDescent="0.3">
      <c r="A52" t="s">
        <v>102</v>
      </c>
    </row>
    <row r="53" spans="1:2" x14ac:dyDescent="0.3">
      <c r="A53" t="s">
        <v>536</v>
      </c>
    </row>
    <row r="54" spans="1:2" x14ac:dyDescent="0.3">
      <c r="A54" t="s">
        <v>104</v>
      </c>
    </row>
    <row r="55" spans="1:2" x14ac:dyDescent="0.3">
      <c r="A55" t="s">
        <v>105</v>
      </c>
    </row>
    <row r="56" spans="1:2" x14ac:dyDescent="0.3">
      <c r="A56" t="s">
        <v>106</v>
      </c>
    </row>
    <row r="57" spans="1:2" x14ac:dyDescent="0.3">
      <c r="A57" t="s">
        <v>107</v>
      </c>
    </row>
    <row r="58" spans="1:2" x14ac:dyDescent="0.3">
      <c r="A58" t="s">
        <v>108</v>
      </c>
    </row>
    <row r="59" spans="1:2" x14ac:dyDescent="0.3">
      <c r="A59" t="s">
        <v>109</v>
      </c>
    </row>
    <row r="60" spans="1:2" x14ac:dyDescent="0.3">
      <c r="A60" t="s">
        <v>110</v>
      </c>
    </row>
    <row r="61" spans="1:2" x14ac:dyDescent="0.3">
      <c r="A61" t="s">
        <v>111</v>
      </c>
      <c r="B61" s="135"/>
    </row>
    <row r="62" spans="1:2" x14ac:dyDescent="0.3">
      <c r="A62" t="s">
        <v>112</v>
      </c>
    </row>
    <row r="63" spans="1:2" x14ac:dyDescent="0.3">
      <c r="A63" t="s">
        <v>113</v>
      </c>
    </row>
    <row r="64" spans="1:2" x14ac:dyDescent="0.3">
      <c r="A64" t="s">
        <v>114</v>
      </c>
    </row>
    <row r="65" spans="1:1" x14ac:dyDescent="0.3">
      <c r="A65" t="s">
        <v>115</v>
      </c>
    </row>
    <row r="66" spans="1:1" x14ac:dyDescent="0.3">
      <c r="A66" t="s">
        <v>116</v>
      </c>
    </row>
    <row r="67" spans="1:1" x14ac:dyDescent="0.3">
      <c r="A67" t="s">
        <v>117</v>
      </c>
    </row>
    <row r="68" spans="1:1" x14ac:dyDescent="0.3">
      <c r="A68" t="s">
        <v>118</v>
      </c>
    </row>
    <row r="69" spans="1:1" x14ac:dyDescent="0.3">
      <c r="A69" t="s">
        <v>119</v>
      </c>
    </row>
    <row r="70" spans="1:1" x14ac:dyDescent="0.3">
      <c r="A70" t="s">
        <v>120</v>
      </c>
    </row>
    <row r="71" spans="1:1" x14ac:dyDescent="0.3">
      <c r="A71" t="s">
        <v>121</v>
      </c>
    </row>
    <row r="72" spans="1:1" x14ac:dyDescent="0.3">
      <c r="A72" t="s">
        <v>122</v>
      </c>
    </row>
    <row r="73" spans="1:1" x14ac:dyDescent="0.3">
      <c r="A73" t="s">
        <v>535</v>
      </c>
    </row>
    <row r="74" spans="1:1" x14ac:dyDescent="0.3">
      <c r="A74" t="s">
        <v>124</v>
      </c>
    </row>
    <row r="75" spans="1:1" x14ac:dyDescent="0.3">
      <c r="A75" t="s">
        <v>125</v>
      </c>
    </row>
    <row r="76" spans="1:1" x14ac:dyDescent="0.3">
      <c r="A76" t="s">
        <v>126</v>
      </c>
    </row>
    <row r="77" spans="1:1" x14ac:dyDescent="0.3">
      <c r="A77" t="s">
        <v>537</v>
      </c>
    </row>
    <row r="78" spans="1:1" x14ac:dyDescent="0.3">
      <c r="A78" t="s">
        <v>128</v>
      </c>
    </row>
    <row r="79" spans="1:1" x14ac:dyDescent="0.3">
      <c r="A79" t="s">
        <v>129</v>
      </c>
    </row>
    <row r="80" spans="1:1" x14ac:dyDescent="0.3">
      <c r="A80" t="s">
        <v>130</v>
      </c>
    </row>
    <row r="81" spans="1:1" x14ac:dyDescent="0.3">
      <c r="A81" t="s">
        <v>131</v>
      </c>
    </row>
    <row r="82" spans="1:1" x14ac:dyDescent="0.3">
      <c r="A82" t="s">
        <v>132</v>
      </c>
    </row>
    <row r="83" spans="1:1" x14ac:dyDescent="0.3">
      <c r="A83" t="s">
        <v>133</v>
      </c>
    </row>
    <row r="84" spans="1:1" x14ac:dyDescent="0.3">
      <c r="A84" t="s">
        <v>134</v>
      </c>
    </row>
    <row r="85" spans="1:1" x14ac:dyDescent="0.3">
      <c r="A85" t="s">
        <v>135</v>
      </c>
    </row>
    <row r="86" spans="1:1" x14ac:dyDescent="0.3">
      <c r="A86" t="s">
        <v>136</v>
      </c>
    </row>
    <row r="87" spans="1:1" x14ac:dyDescent="0.3">
      <c r="A87" t="s">
        <v>137</v>
      </c>
    </row>
    <row r="88" spans="1:1" x14ac:dyDescent="0.3">
      <c r="A88" t="s">
        <v>138</v>
      </c>
    </row>
    <row r="89" spans="1:1" x14ac:dyDescent="0.3">
      <c r="A89" t="s">
        <v>539</v>
      </c>
    </row>
    <row r="90" spans="1:1" x14ac:dyDescent="0.3">
      <c r="A90" t="s">
        <v>140</v>
      </c>
    </row>
    <row r="91" spans="1:1" x14ac:dyDescent="0.3">
      <c r="A91" t="s">
        <v>141</v>
      </c>
    </row>
    <row r="92" spans="1:1" x14ac:dyDescent="0.3">
      <c r="A92" t="s">
        <v>142</v>
      </c>
    </row>
    <row r="93" spans="1:1" x14ac:dyDescent="0.3">
      <c r="A93" t="s">
        <v>469</v>
      </c>
    </row>
    <row r="94" spans="1:1" x14ac:dyDescent="0.3">
      <c r="A94" t="s">
        <v>470</v>
      </c>
    </row>
    <row r="95" spans="1:1" x14ac:dyDescent="0.3">
      <c r="A95" t="s">
        <v>471</v>
      </c>
    </row>
    <row r="96" spans="1:1" x14ac:dyDescent="0.3">
      <c r="A96" t="s">
        <v>472</v>
      </c>
    </row>
    <row r="97" spans="1:1" x14ac:dyDescent="0.3">
      <c r="A97" t="s">
        <v>538</v>
      </c>
    </row>
    <row r="98" spans="1:1" x14ac:dyDescent="0.3">
      <c r="A98" t="s">
        <v>144</v>
      </c>
    </row>
    <row r="99" spans="1:1" x14ac:dyDescent="0.3">
      <c r="A99" t="s">
        <v>145</v>
      </c>
    </row>
    <row r="100" spans="1:1" x14ac:dyDescent="0.3">
      <c r="A100" t="s">
        <v>146</v>
      </c>
    </row>
    <row r="101" spans="1:1" x14ac:dyDescent="0.3">
      <c r="A101" t="s">
        <v>540</v>
      </c>
    </row>
    <row r="102" spans="1:1" x14ac:dyDescent="0.3">
      <c r="A102" t="s">
        <v>148</v>
      </c>
    </row>
    <row r="103" spans="1:1" x14ac:dyDescent="0.3">
      <c r="A103" t="s">
        <v>149</v>
      </c>
    </row>
    <row r="104" spans="1:1" x14ac:dyDescent="0.3">
      <c r="A104" t="s">
        <v>150</v>
      </c>
    </row>
    <row r="105" spans="1:1" x14ac:dyDescent="0.3">
      <c r="A105" t="s">
        <v>151</v>
      </c>
    </row>
    <row r="106" spans="1:1" x14ac:dyDescent="0.3">
      <c r="A106" t="s">
        <v>152</v>
      </c>
    </row>
    <row r="107" spans="1:1" x14ac:dyDescent="0.3">
      <c r="A107" t="s">
        <v>153</v>
      </c>
    </row>
    <row r="108" spans="1:1" x14ac:dyDescent="0.3">
      <c r="A108" t="s">
        <v>154</v>
      </c>
    </row>
    <row r="109" spans="1:1" x14ac:dyDescent="0.3">
      <c r="A109" t="s">
        <v>411</v>
      </c>
    </row>
    <row r="110" spans="1:1" x14ac:dyDescent="0.3">
      <c r="A110" t="s">
        <v>412</v>
      </c>
    </row>
    <row r="111" spans="1:1" x14ac:dyDescent="0.3">
      <c r="A111" t="s">
        <v>413</v>
      </c>
    </row>
    <row r="112" spans="1:1" x14ac:dyDescent="0.3">
      <c r="A112" t="s">
        <v>414</v>
      </c>
    </row>
    <row r="113" spans="1:1" x14ac:dyDescent="0.3">
      <c r="A113" t="s">
        <v>502</v>
      </c>
    </row>
    <row r="114" spans="1:1" x14ac:dyDescent="0.3">
      <c r="A114" t="s">
        <v>503</v>
      </c>
    </row>
    <row r="115" spans="1:1" x14ac:dyDescent="0.3">
      <c r="A115" t="s">
        <v>504</v>
      </c>
    </row>
    <row r="116" spans="1:1" x14ac:dyDescent="0.3">
      <c r="A116" t="s">
        <v>505</v>
      </c>
    </row>
    <row r="117" spans="1:1" x14ac:dyDescent="0.3">
      <c r="A117" t="s">
        <v>519</v>
      </c>
    </row>
    <row r="118" spans="1:1" x14ac:dyDescent="0.3">
      <c r="A118" t="s">
        <v>520</v>
      </c>
    </row>
    <row r="119" spans="1:1" x14ac:dyDescent="0.3">
      <c r="A119" t="s">
        <v>521</v>
      </c>
    </row>
    <row r="120" spans="1:1" x14ac:dyDescent="0.3">
      <c r="A120" t="s">
        <v>522</v>
      </c>
    </row>
    <row r="121" spans="1:1" x14ac:dyDescent="0.3">
      <c r="A121" t="s">
        <v>155</v>
      </c>
    </row>
    <row r="122" spans="1:1" x14ac:dyDescent="0.3">
      <c r="A122" t="s">
        <v>156</v>
      </c>
    </row>
    <row r="123" spans="1:1" x14ac:dyDescent="0.3">
      <c r="A123" t="s">
        <v>157</v>
      </c>
    </row>
    <row r="124" spans="1:1" x14ac:dyDescent="0.3">
      <c r="A124" t="s">
        <v>158</v>
      </c>
    </row>
    <row r="125" spans="1:1" x14ac:dyDescent="0.3">
      <c r="A125" t="s">
        <v>407</v>
      </c>
    </row>
    <row r="126" spans="1:1" x14ac:dyDescent="0.3">
      <c r="A126" t="s">
        <v>408</v>
      </c>
    </row>
    <row r="127" spans="1:1" x14ac:dyDescent="0.3">
      <c r="A127" t="s">
        <v>409</v>
      </c>
    </row>
    <row r="128" spans="1:1" x14ac:dyDescent="0.3">
      <c r="A128" t="s">
        <v>410</v>
      </c>
    </row>
    <row r="129" spans="1:6" x14ac:dyDescent="0.3">
      <c r="A129" t="s">
        <v>415</v>
      </c>
    </row>
    <row r="130" spans="1:6" x14ac:dyDescent="0.3">
      <c r="A130" t="s">
        <v>416</v>
      </c>
    </row>
    <row r="131" spans="1:6" x14ac:dyDescent="0.3">
      <c r="A131" t="s">
        <v>417</v>
      </c>
    </row>
    <row r="132" spans="1:6" x14ac:dyDescent="0.3">
      <c r="A132" t="s">
        <v>418</v>
      </c>
    </row>
    <row r="133" spans="1:6" x14ac:dyDescent="0.3">
      <c r="A133" t="s">
        <v>431</v>
      </c>
    </row>
    <row r="134" spans="1:6" x14ac:dyDescent="0.3">
      <c r="A134" t="s">
        <v>432</v>
      </c>
    </row>
    <row r="135" spans="1:6" x14ac:dyDescent="0.3">
      <c r="A135" t="s">
        <v>433</v>
      </c>
    </row>
    <row r="136" spans="1:6" x14ac:dyDescent="0.3">
      <c r="A136" t="s">
        <v>434</v>
      </c>
    </row>
    <row r="137" spans="1:6" x14ac:dyDescent="0.3">
      <c r="A137" t="s">
        <v>159</v>
      </c>
      <c r="B137">
        <v>18803.850399999999</v>
      </c>
      <c r="C137">
        <v>38.482199999999999</v>
      </c>
      <c r="D137">
        <v>40.033200000000001</v>
      </c>
      <c r="E137">
        <v>43.617400000000004</v>
      </c>
      <c r="F137">
        <v>19285.897000000001</v>
      </c>
    </row>
    <row r="138" spans="1:6" x14ac:dyDescent="0.3">
      <c r="A138" t="s">
        <v>160</v>
      </c>
      <c r="B138">
        <v>5754.2592000000004</v>
      </c>
      <c r="C138">
        <v>36.854100000000003</v>
      </c>
      <c r="D138">
        <v>39.076599999999999</v>
      </c>
      <c r="E138">
        <v>41.897199999999998</v>
      </c>
      <c r="F138">
        <v>14628.847</v>
      </c>
    </row>
    <row r="139" spans="1:6" x14ac:dyDescent="0.3">
      <c r="A139" t="s">
        <v>161</v>
      </c>
      <c r="B139">
        <v>2673.7208000000001</v>
      </c>
      <c r="C139">
        <v>34.949199999999998</v>
      </c>
      <c r="D139">
        <v>38.2376</v>
      </c>
      <c r="E139">
        <v>40.338200000000001</v>
      </c>
      <c r="F139">
        <v>12893.194</v>
      </c>
    </row>
    <row r="140" spans="1:6" x14ac:dyDescent="0.3">
      <c r="A140" t="s">
        <v>162</v>
      </c>
      <c r="B140">
        <v>1370.4168</v>
      </c>
      <c r="C140">
        <v>32.769300000000001</v>
      </c>
      <c r="D140">
        <v>37.543999999999997</v>
      </c>
      <c r="E140">
        <v>39.170400000000001</v>
      </c>
      <c r="F140">
        <v>11959.481</v>
      </c>
    </row>
    <row r="141" spans="1:6" x14ac:dyDescent="0.3">
      <c r="A141" t="s">
        <v>163</v>
      </c>
      <c r="B141">
        <v>17488.292799999999</v>
      </c>
      <c r="C141">
        <v>39.155999999999999</v>
      </c>
      <c r="D141">
        <v>43.775100000000002</v>
      </c>
      <c r="E141">
        <v>44.982100000000003</v>
      </c>
      <c r="F141">
        <v>21147.08</v>
      </c>
    </row>
    <row r="142" spans="1:6" x14ac:dyDescent="0.3">
      <c r="A142" t="s">
        <v>164</v>
      </c>
      <c r="B142">
        <v>6024.4528</v>
      </c>
      <c r="C142">
        <v>37.475499999999997</v>
      </c>
      <c r="D142">
        <v>42.5214</v>
      </c>
      <c r="E142">
        <v>43.028599999999997</v>
      </c>
      <c r="F142">
        <v>17051.514999999999</v>
      </c>
    </row>
    <row r="143" spans="1:6" x14ac:dyDescent="0.3">
      <c r="A143" t="s">
        <v>165</v>
      </c>
      <c r="B143">
        <v>2809.5864000000001</v>
      </c>
      <c r="C143">
        <v>35.626800000000003</v>
      </c>
      <c r="D143">
        <v>41.2714</v>
      </c>
      <c r="E143">
        <v>41.186700000000002</v>
      </c>
      <c r="F143">
        <v>15002.86</v>
      </c>
    </row>
    <row r="144" spans="1:6" x14ac:dyDescent="0.3">
      <c r="A144" t="s">
        <v>166</v>
      </c>
      <c r="B144">
        <v>1475.8232</v>
      </c>
      <c r="C144">
        <v>33.6404</v>
      </c>
      <c r="D144">
        <v>40.328000000000003</v>
      </c>
      <c r="E144">
        <v>39.912700000000001</v>
      </c>
      <c r="F144">
        <v>13818.416999999999</v>
      </c>
    </row>
    <row r="145" spans="1:6" x14ac:dyDescent="0.3">
      <c r="A145" t="s">
        <v>167</v>
      </c>
      <c r="B145">
        <v>40614.592799999999</v>
      </c>
      <c r="C145">
        <v>37.435400000000001</v>
      </c>
      <c r="D145">
        <v>42.136899999999997</v>
      </c>
      <c r="E145">
        <v>44.306800000000003</v>
      </c>
      <c r="F145">
        <v>27277.322</v>
      </c>
    </row>
    <row r="146" spans="1:6" x14ac:dyDescent="0.3">
      <c r="A146" t="s">
        <v>168</v>
      </c>
      <c r="B146">
        <v>7511.4912000000004</v>
      </c>
      <c r="C146">
        <v>35.311199999999999</v>
      </c>
      <c r="D146">
        <v>40.841999999999999</v>
      </c>
      <c r="E146">
        <v>43.163699999999999</v>
      </c>
      <c r="F146">
        <v>17449.516</v>
      </c>
    </row>
    <row r="147" spans="1:6" x14ac:dyDescent="0.3">
      <c r="A147" t="s">
        <v>169</v>
      </c>
      <c r="B147">
        <v>2276.7408</v>
      </c>
      <c r="C147">
        <v>33.860300000000002</v>
      </c>
      <c r="D147">
        <v>39.613399999999999</v>
      </c>
      <c r="E147">
        <v>42.105600000000003</v>
      </c>
      <c r="F147">
        <v>14821.771000000001</v>
      </c>
    </row>
    <row r="148" spans="1:6" x14ac:dyDescent="0.3">
      <c r="A148" t="s">
        <v>170</v>
      </c>
      <c r="B148">
        <v>973.21360000000004</v>
      </c>
      <c r="C148">
        <v>31.981400000000001</v>
      </c>
      <c r="D148">
        <v>38.688800000000001</v>
      </c>
      <c r="E148">
        <v>41.287700000000001</v>
      </c>
      <c r="F148">
        <v>13796.082</v>
      </c>
    </row>
    <row r="149" spans="1:6" x14ac:dyDescent="0.3">
      <c r="A149" t="s">
        <v>171</v>
      </c>
    </row>
    <row r="150" spans="1:6" x14ac:dyDescent="0.3">
      <c r="A150" t="s">
        <v>172</v>
      </c>
    </row>
    <row r="151" spans="1:6" x14ac:dyDescent="0.3">
      <c r="A151" t="s">
        <v>173</v>
      </c>
    </row>
    <row r="152" spans="1:6" x14ac:dyDescent="0.3">
      <c r="A152" t="s">
        <v>174</v>
      </c>
    </row>
    <row r="153" spans="1:6" x14ac:dyDescent="0.3">
      <c r="A153" t="s">
        <v>175</v>
      </c>
    </row>
    <row r="154" spans="1:6" x14ac:dyDescent="0.3">
      <c r="A154" t="s">
        <v>176</v>
      </c>
    </row>
    <row r="155" spans="1:6" x14ac:dyDescent="0.3">
      <c r="A155" t="s">
        <v>177</v>
      </c>
    </row>
    <row r="156" spans="1:6" x14ac:dyDescent="0.3">
      <c r="A156" t="s">
        <v>178</v>
      </c>
    </row>
    <row r="157" spans="1:6" x14ac:dyDescent="0.3">
      <c r="A157" t="s">
        <v>179</v>
      </c>
    </row>
    <row r="158" spans="1:6" x14ac:dyDescent="0.3">
      <c r="A158" t="s">
        <v>180</v>
      </c>
    </row>
    <row r="159" spans="1:6" x14ac:dyDescent="0.3">
      <c r="A159" t="s">
        <v>181</v>
      </c>
    </row>
    <row r="160" spans="1:6" x14ac:dyDescent="0.3">
      <c r="A160" t="s">
        <v>182</v>
      </c>
    </row>
    <row r="161" spans="1:1" x14ac:dyDescent="0.3">
      <c r="A161" t="s">
        <v>183</v>
      </c>
    </row>
    <row r="162" spans="1:1" x14ac:dyDescent="0.3">
      <c r="A162" t="s">
        <v>184</v>
      </c>
    </row>
    <row r="163" spans="1:1" x14ac:dyDescent="0.3">
      <c r="A163" t="s">
        <v>185</v>
      </c>
    </row>
    <row r="164" spans="1:1" x14ac:dyDescent="0.3">
      <c r="A164" t="s">
        <v>186</v>
      </c>
    </row>
    <row r="165" spans="1:1" x14ac:dyDescent="0.3">
      <c r="A165" t="s">
        <v>187</v>
      </c>
    </row>
    <row r="166" spans="1:1" x14ac:dyDescent="0.3">
      <c r="A166" t="s">
        <v>188</v>
      </c>
    </row>
    <row r="167" spans="1:1" x14ac:dyDescent="0.3">
      <c r="A167" t="s">
        <v>189</v>
      </c>
    </row>
    <row r="168" spans="1:1" x14ac:dyDescent="0.3">
      <c r="A168" t="s">
        <v>190</v>
      </c>
    </row>
    <row r="169" spans="1:1" x14ac:dyDescent="0.3">
      <c r="A169" t="s">
        <v>191</v>
      </c>
    </row>
    <row r="170" spans="1:1" x14ac:dyDescent="0.3">
      <c r="A170" t="s">
        <v>192</v>
      </c>
    </row>
    <row r="171" spans="1:1" x14ac:dyDescent="0.3">
      <c r="A171" t="s">
        <v>193</v>
      </c>
    </row>
    <row r="172" spans="1:1" x14ac:dyDescent="0.3">
      <c r="A172" t="s">
        <v>194</v>
      </c>
    </row>
    <row r="173" spans="1:1" x14ac:dyDescent="0.3">
      <c r="A173" t="s">
        <v>195</v>
      </c>
    </row>
    <row r="174" spans="1:1" x14ac:dyDescent="0.3">
      <c r="A174" t="s">
        <v>196</v>
      </c>
    </row>
    <row r="175" spans="1:1" x14ac:dyDescent="0.3">
      <c r="A175" t="s">
        <v>197</v>
      </c>
    </row>
    <row r="176" spans="1:1" x14ac:dyDescent="0.3">
      <c r="A176" t="s">
        <v>198</v>
      </c>
    </row>
    <row r="177" spans="1:7" x14ac:dyDescent="0.3">
      <c r="A177" t="s">
        <v>199</v>
      </c>
      <c r="B177" s="80"/>
      <c r="C177" s="80"/>
      <c r="D177" s="80"/>
      <c r="E177" s="80"/>
      <c r="F177" s="80"/>
      <c r="G177" s="80"/>
    </row>
    <row r="178" spans="1:7" x14ac:dyDescent="0.3">
      <c r="A178" t="s">
        <v>200</v>
      </c>
      <c r="B178" s="80"/>
      <c r="C178" s="80"/>
      <c r="D178" s="80"/>
      <c r="E178" s="80"/>
      <c r="F178" s="80"/>
      <c r="G178" s="80"/>
    </row>
    <row r="179" spans="1:7" x14ac:dyDescent="0.3">
      <c r="A179" t="s">
        <v>201</v>
      </c>
      <c r="B179" s="80"/>
      <c r="C179" s="80"/>
      <c r="D179" s="80"/>
      <c r="E179" s="80"/>
      <c r="F179" s="80"/>
      <c r="G179" s="80"/>
    </row>
    <row r="180" spans="1:7" x14ac:dyDescent="0.3">
      <c r="A180" t="s">
        <v>202</v>
      </c>
      <c r="B180" s="80"/>
      <c r="C180" s="80"/>
      <c r="D180" s="80"/>
      <c r="E180" s="80"/>
      <c r="F180" s="80"/>
      <c r="G180" s="80"/>
    </row>
    <row r="181" spans="1:7" x14ac:dyDescent="0.3">
      <c r="A181" t="s">
        <v>203</v>
      </c>
      <c r="B181" s="80"/>
      <c r="C181" s="80"/>
      <c r="D181" s="80"/>
      <c r="E181" s="80"/>
      <c r="F181" s="80"/>
      <c r="G181" s="80"/>
    </row>
    <row r="182" spans="1:7" x14ac:dyDescent="0.3">
      <c r="A182" t="s">
        <v>204</v>
      </c>
      <c r="B182" s="80"/>
      <c r="C182" s="80"/>
      <c r="D182" s="80"/>
      <c r="E182" s="80"/>
      <c r="F182" s="80"/>
      <c r="G182" s="80"/>
    </row>
    <row r="183" spans="1:7" x14ac:dyDescent="0.3">
      <c r="A183" t="s">
        <v>205</v>
      </c>
      <c r="B183" s="80"/>
      <c r="C183" s="80"/>
      <c r="D183" s="80"/>
      <c r="E183" s="80"/>
      <c r="F183" s="80"/>
      <c r="G183" s="80"/>
    </row>
    <row r="184" spans="1:7" x14ac:dyDescent="0.3">
      <c r="A184" t="s">
        <v>206</v>
      </c>
      <c r="B184" s="80"/>
      <c r="C184" s="80"/>
      <c r="D184" s="80"/>
      <c r="E184" s="80"/>
      <c r="F184" s="80"/>
      <c r="G184" s="80"/>
    </row>
    <row r="185" spans="1:7" x14ac:dyDescent="0.3">
      <c r="A185" t="s">
        <v>207</v>
      </c>
      <c r="B185" s="80"/>
      <c r="C185" s="80"/>
      <c r="D185" s="80"/>
      <c r="E185" s="80"/>
      <c r="F185" s="80"/>
      <c r="G185" s="80"/>
    </row>
    <row r="186" spans="1:7" x14ac:dyDescent="0.3">
      <c r="A186" t="s">
        <v>208</v>
      </c>
      <c r="B186" s="80"/>
      <c r="C186" s="80"/>
      <c r="D186" s="80"/>
      <c r="E186" s="80"/>
      <c r="F186" s="80"/>
      <c r="G186" s="80"/>
    </row>
    <row r="187" spans="1:7" x14ac:dyDescent="0.3">
      <c r="A187" t="s">
        <v>209</v>
      </c>
      <c r="B187" s="80"/>
      <c r="C187" s="80"/>
      <c r="D187" s="80"/>
      <c r="E187" s="80"/>
      <c r="F187" s="80"/>
      <c r="G187" s="80"/>
    </row>
    <row r="188" spans="1:7" x14ac:dyDescent="0.3">
      <c r="A188" t="s">
        <v>210</v>
      </c>
      <c r="B188" s="80"/>
      <c r="C188" s="80"/>
      <c r="D188" s="80"/>
      <c r="E188" s="80"/>
      <c r="F188" s="80"/>
      <c r="G188" s="80"/>
    </row>
    <row r="189" spans="1:7" x14ac:dyDescent="0.3">
      <c r="A189" t="s">
        <v>211</v>
      </c>
      <c r="B189" s="80"/>
      <c r="C189" s="80"/>
      <c r="D189" s="80"/>
      <c r="E189" s="80"/>
      <c r="F189" s="80"/>
      <c r="G189" s="80"/>
    </row>
    <row r="190" spans="1:7" x14ac:dyDescent="0.3">
      <c r="A190" t="s">
        <v>212</v>
      </c>
      <c r="B190" s="80"/>
      <c r="C190" s="80"/>
      <c r="D190" s="80"/>
      <c r="E190" s="80"/>
      <c r="F190" s="80"/>
      <c r="G190" s="80"/>
    </row>
    <row r="191" spans="1:7" x14ac:dyDescent="0.3">
      <c r="A191" t="s">
        <v>213</v>
      </c>
      <c r="B191" s="80"/>
      <c r="C191" s="80"/>
      <c r="D191" s="80"/>
      <c r="E191" s="80"/>
      <c r="F191" s="80"/>
      <c r="G191" s="80"/>
    </row>
    <row r="192" spans="1:7" x14ac:dyDescent="0.3">
      <c r="A192" t="s">
        <v>214</v>
      </c>
      <c r="B192" s="80"/>
      <c r="C192" s="80"/>
      <c r="D192" s="80"/>
      <c r="E192" s="80"/>
      <c r="F192" s="80"/>
      <c r="G192" s="80"/>
    </row>
    <row r="193" spans="1:7" x14ac:dyDescent="0.3">
      <c r="A193" t="s">
        <v>215</v>
      </c>
      <c r="B193" s="80"/>
      <c r="C193" s="80"/>
      <c r="D193" s="80"/>
      <c r="E193" s="80"/>
      <c r="F193" s="80"/>
      <c r="G193" s="80"/>
    </row>
    <row r="194" spans="1:7" x14ac:dyDescent="0.3">
      <c r="A194" t="s">
        <v>216</v>
      </c>
      <c r="B194" s="80"/>
      <c r="C194" s="80"/>
      <c r="D194" s="80"/>
      <c r="E194" s="80"/>
      <c r="F194" s="80"/>
      <c r="G194" s="80"/>
    </row>
    <row r="195" spans="1:7" x14ac:dyDescent="0.3">
      <c r="A195" t="s">
        <v>217</v>
      </c>
      <c r="B195" s="80"/>
      <c r="C195" s="80"/>
      <c r="D195" s="80"/>
      <c r="E195" s="80"/>
      <c r="F195" s="80"/>
      <c r="G195" s="80"/>
    </row>
    <row r="196" spans="1:7" x14ac:dyDescent="0.3">
      <c r="A196" t="s">
        <v>218</v>
      </c>
      <c r="B196" s="80"/>
      <c r="C196" s="80"/>
      <c r="D196" s="80"/>
      <c r="E196" s="80"/>
      <c r="F196" s="80"/>
      <c r="G196" s="80"/>
    </row>
    <row r="197" spans="1:7" x14ac:dyDescent="0.3">
      <c r="A197" t="s">
        <v>473</v>
      </c>
      <c r="B197" s="80"/>
      <c r="C197" s="80"/>
      <c r="D197" s="80"/>
      <c r="E197" s="80"/>
      <c r="F197" s="80"/>
      <c r="G197" s="80"/>
    </row>
    <row r="198" spans="1:7" x14ac:dyDescent="0.3">
      <c r="A198" t="s">
        <v>474</v>
      </c>
      <c r="B198" s="80"/>
      <c r="C198" s="80"/>
      <c r="D198" s="80"/>
      <c r="E198" s="80"/>
      <c r="F198" s="80"/>
      <c r="G198" s="80"/>
    </row>
    <row r="199" spans="1:7" x14ac:dyDescent="0.3">
      <c r="A199" t="s">
        <v>475</v>
      </c>
      <c r="B199" s="80"/>
      <c r="C199" s="80"/>
      <c r="D199" s="80"/>
      <c r="E199" s="80"/>
      <c r="F199" s="80"/>
      <c r="G199" s="80"/>
    </row>
    <row r="200" spans="1:7" x14ac:dyDescent="0.3">
      <c r="A200" t="s">
        <v>476</v>
      </c>
      <c r="B200" s="80"/>
      <c r="C200" s="80"/>
      <c r="D200" s="80"/>
      <c r="E200" s="80"/>
      <c r="F200" s="80"/>
      <c r="G200" s="80"/>
    </row>
    <row r="201" spans="1:7" x14ac:dyDescent="0.3">
      <c r="A201" t="s">
        <v>219</v>
      </c>
      <c r="B201" s="80"/>
      <c r="C201" s="80"/>
      <c r="D201" s="80"/>
      <c r="E201" s="80"/>
      <c r="F201" s="80"/>
      <c r="G201" s="80"/>
    </row>
    <row r="202" spans="1:7" x14ac:dyDescent="0.3">
      <c r="A202" t="s">
        <v>220</v>
      </c>
      <c r="B202" s="80"/>
      <c r="C202" s="80"/>
      <c r="D202" s="80"/>
      <c r="E202" s="80"/>
      <c r="F202" s="80"/>
      <c r="G202" s="80"/>
    </row>
    <row r="203" spans="1:7" x14ac:dyDescent="0.3">
      <c r="A203" t="s">
        <v>221</v>
      </c>
      <c r="B203" s="80"/>
      <c r="C203" s="80"/>
      <c r="D203" s="80"/>
      <c r="E203" s="80"/>
      <c r="F203" s="80"/>
      <c r="G203" s="80"/>
    </row>
    <row r="204" spans="1:7" x14ac:dyDescent="0.3">
      <c r="A204" t="s">
        <v>222</v>
      </c>
      <c r="B204" s="80"/>
      <c r="C204" s="80"/>
      <c r="D204" s="80"/>
      <c r="E204" s="80"/>
      <c r="F204" s="80"/>
      <c r="G204" s="80"/>
    </row>
    <row r="205" spans="1:7" x14ac:dyDescent="0.3">
      <c r="A205" t="s">
        <v>223</v>
      </c>
      <c r="B205" s="80"/>
      <c r="C205" s="80"/>
      <c r="D205" s="80"/>
      <c r="E205" s="80"/>
      <c r="F205" s="80"/>
      <c r="G205" s="80"/>
    </row>
    <row r="206" spans="1:7" x14ac:dyDescent="0.3">
      <c r="A206" t="s">
        <v>224</v>
      </c>
      <c r="B206" s="80"/>
      <c r="C206" s="80"/>
      <c r="D206" s="80"/>
      <c r="E206" s="80"/>
      <c r="F206" s="80"/>
      <c r="G206" s="80"/>
    </row>
    <row r="207" spans="1:7" x14ac:dyDescent="0.3">
      <c r="A207" t="s">
        <v>531</v>
      </c>
      <c r="B207" s="80"/>
      <c r="C207" s="80"/>
      <c r="D207" s="80"/>
      <c r="E207" s="80"/>
      <c r="F207" s="80"/>
      <c r="G207" s="80"/>
    </row>
    <row r="208" spans="1:7" x14ac:dyDescent="0.3">
      <c r="A208" t="s">
        <v>226</v>
      </c>
      <c r="B208" s="80"/>
      <c r="C208" s="80"/>
      <c r="D208" s="80"/>
      <c r="E208" s="80"/>
      <c r="F208" s="80"/>
      <c r="G208" s="80"/>
    </row>
    <row r="209" spans="1:7" x14ac:dyDescent="0.3">
      <c r="A209" t="s">
        <v>227</v>
      </c>
      <c r="B209" s="80"/>
      <c r="C209" s="80"/>
      <c r="D209" s="80"/>
      <c r="E209" s="80"/>
      <c r="F209" s="80"/>
      <c r="G209" s="80"/>
    </row>
    <row r="210" spans="1:7" x14ac:dyDescent="0.3">
      <c r="A210" t="s">
        <v>228</v>
      </c>
      <c r="B210" s="80"/>
      <c r="C210" s="80"/>
      <c r="D210" s="80"/>
      <c r="E210" s="80"/>
      <c r="F210" s="80"/>
      <c r="G210" s="80"/>
    </row>
    <row r="211" spans="1:7" x14ac:dyDescent="0.3">
      <c r="A211" t="s">
        <v>532</v>
      </c>
      <c r="B211" s="80"/>
      <c r="C211" s="80"/>
      <c r="D211" s="80"/>
      <c r="E211" s="80"/>
      <c r="F211" s="80"/>
      <c r="G211" s="80"/>
    </row>
    <row r="212" spans="1:7" x14ac:dyDescent="0.3">
      <c r="A212" t="s">
        <v>230</v>
      </c>
      <c r="B212" s="80"/>
      <c r="C212" s="80"/>
      <c r="D212" s="80"/>
      <c r="E212" s="80"/>
      <c r="F212" s="80"/>
      <c r="G212" s="80"/>
    </row>
    <row r="213" spans="1:7" x14ac:dyDescent="0.3">
      <c r="A213" t="s">
        <v>403</v>
      </c>
      <c r="B213" s="80"/>
      <c r="C213" s="80"/>
      <c r="D213" s="80"/>
      <c r="E213" s="80"/>
      <c r="F213" s="80"/>
      <c r="G213" s="80"/>
    </row>
    <row r="214" spans="1:7" x14ac:dyDescent="0.3">
      <c r="A214" t="s">
        <v>533</v>
      </c>
      <c r="B214" s="80"/>
      <c r="C214" s="80"/>
      <c r="D214" s="80"/>
      <c r="E214" s="80"/>
      <c r="F214" s="80"/>
      <c r="G214" s="80"/>
    </row>
    <row r="215" spans="1:7" x14ac:dyDescent="0.3">
      <c r="A215" t="s">
        <v>405</v>
      </c>
      <c r="B215" s="80"/>
      <c r="C215" s="80"/>
      <c r="D215" s="80"/>
      <c r="E215" s="80"/>
      <c r="F215" s="80"/>
      <c r="G215" s="80"/>
    </row>
    <row r="216" spans="1:7" x14ac:dyDescent="0.3">
      <c r="A216" t="s">
        <v>406</v>
      </c>
      <c r="B216" s="80"/>
      <c r="C216" s="80"/>
      <c r="D216" s="80"/>
      <c r="E216" s="80"/>
      <c r="F216" s="80"/>
      <c r="G216" s="80"/>
    </row>
    <row r="217" spans="1:7" x14ac:dyDescent="0.3">
      <c r="A217" t="s">
        <v>506</v>
      </c>
      <c r="B217" s="80"/>
      <c r="C217" s="80"/>
      <c r="D217" s="80"/>
      <c r="E217" s="80"/>
      <c r="F217" s="80"/>
      <c r="G217" s="80"/>
    </row>
    <row r="218" spans="1:7" x14ac:dyDescent="0.3">
      <c r="A218" t="s">
        <v>507</v>
      </c>
      <c r="B218" s="80"/>
      <c r="C218" s="80"/>
      <c r="D218" s="80"/>
      <c r="E218" s="80"/>
      <c r="F218" s="80"/>
      <c r="G218" s="80"/>
    </row>
    <row r="219" spans="1:7" x14ac:dyDescent="0.3">
      <c r="A219" t="s">
        <v>508</v>
      </c>
      <c r="B219" s="80"/>
      <c r="C219" s="80"/>
      <c r="D219" s="80"/>
      <c r="E219" s="80"/>
      <c r="F219" s="80"/>
      <c r="G219" s="80"/>
    </row>
    <row r="220" spans="1:7" x14ac:dyDescent="0.3">
      <c r="A220" t="s">
        <v>509</v>
      </c>
      <c r="B220" s="80"/>
      <c r="C220" s="80"/>
      <c r="D220" s="80"/>
      <c r="E220" s="80"/>
      <c r="F220" s="80"/>
      <c r="G220" s="80"/>
    </row>
    <row r="221" spans="1:7" x14ac:dyDescent="0.3">
      <c r="A221" t="s">
        <v>523</v>
      </c>
      <c r="B221" s="80"/>
      <c r="C221" s="80"/>
      <c r="D221" s="80"/>
      <c r="E221" s="80"/>
      <c r="F221" s="80"/>
      <c r="G221" s="80"/>
    </row>
    <row r="222" spans="1:7" x14ac:dyDescent="0.3">
      <c r="A222" t="s">
        <v>524</v>
      </c>
      <c r="B222" s="80"/>
      <c r="C222" s="80"/>
      <c r="D222" s="80"/>
      <c r="E222" s="80"/>
      <c r="F222" s="80"/>
      <c r="G222" s="80"/>
    </row>
    <row r="223" spans="1:7" x14ac:dyDescent="0.3">
      <c r="A223" t="s">
        <v>525</v>
      </c>
      <c r="B223" s="80"/>
      <c r="C223" s="80"/>
      <c r="D223" s="80"/>
      <c r="E223" s="80"/>
      <c r="F223" s="80"/>
      <c r="G223" s="80"/>
    </row>
    <row r="224" spans="1:7" x14ac:dyDescent="0.3">
      <c r="A224" t="s">
        <v>526</v>
      </c>
      <c r="B224" s="80"/>
      <c r="C224" s="80"/>
      <c r="D224" s="80"/>
      <c r="E224" s="80"/>
      <c r="F224" s="80"/>
      <c r="G224" s="80"/>
    </row>
    <row r="225" spans="1:7" x14ac:dyDescent="0.3">
      <c r="A225" t="s">
        <v>231</v>
      </c>
      <c r="B225" s="80"/>
      <c r="C225" s="80"/>
      <c r="D225" s="80"/>
      <c r="E225" s="80"/>
      <c r="F225" s="80"/>
      <c r="G225" s="80"/>
    </row>
    <row r="226" spans="1:7" x14ac:dyDescent="0.3">
      <c r="A226" t="s">
        <v>232</v>
      </c>
      <c r="B226" s="80"/>
      <c r="C226" s="80"/>
      <c r="D226" s="80"/>
      <c r="E226" s="80"/>
      <c r="F226" s="80"/>
      <c r="G226" s="80"/>
    </row>
    <row r="227" spans="1:7" x14ac:dyDescent="0.3">
      <c r="A227" t="s">
        <v>233</v>
      </c>
      <c r="B227" s="80"/>
      <c r="C227" s="80"/>
      <c r="D227" s="80"/>
      <c r="E227" s="80"/>
      <c r="F227" s="80"/>
      <c r="G227" s="80"/>
    </row>
    <row r="228" spans="1:7" x14ac:dyDescent="0.3">
      <c r="A228" t="s">
        <v>234</v>
      </c>
      <c r="B228" s="80"/>
      <c r="C228" s="80"/>
      <c r="D228" s="80"/>
      <c r="E228" s="80"/>
      <c r="F228" s="80"/>
      <c r="G228" s="80"/>
    </row>
    <row r="229" spans="1:7" x14ac:dyDescent="0.3">
      <c r="A229" t="s">
        <v>427</v>
      </c>
      <c r="B229" s="80"/>
      <c r="C229" s="80"/>
      <c r="D229" s="80"/>
      <c r="E229" s="80"/>
      <c r="F229" s="80"/>
      <c r="G229" s="80"/>
    </row>
    <row r="230" spans="1:7" x14ac:dyDescent="0.3">
      <c r="A230" t="s">
        <v>428</v>
      </c>
      <c r="B230" s="80"/>
      <c r="C230" s="80"/>
      <c r="D230" s="80"/>
      <c r="E230" s="80"/>
      <c r="F230" s="80"/>
      <c r="G230" s="80"/>
    </row>
    <row r="231" spans="1:7" x14ac:dyDescent="0.3">
      <c r="A231" t="s">
        <v>429</v>
      </c>
      <c r="B231" s="80"/>
      <c r="C231" s="80"/>
      <c r="D231" s="80"/>
      <c r="E231" s="80"/>
      <c r="F231" s="80"/>
      <c r="G231" s="80"/>
    </row>
    <row r="232" spans="1:7" x14ac:dyDescent="0.3">
      <c r="A232" t="s">
        <v>430</v>
      </c>
      <c r="B232" s="80"/>
      <c r="C232" s="80"/>
      <c r="D232" s="80"/>
      <c r="E232" s="80"/>
      <c r="F232" s="80"/>
      <c r="G232" s="80"/>
    </row>
    <row r="233" spans="1:7" x14ac:dyDescent="0.3">
      <c r="A233" t="s">
        <v>419</v>
      </c>
      <c r="B233" s="80"/>
      <c r="C233" s="80"/>
      <c r="D233" s="80"/>
      <c r="E233" s="80"/>
      <c r="F233" s="80"/>
      <c r="G233" s="80"/>
    </row>
    <row r="234" spans="1:7" x14ac:dyDescent="0.3">
      <c r="A234" t="s">
        <v>420</v>
      </c>
      <c r="B234" s="80"/>
      <c r="C234" s="80"/>
      <c r="D234" s="80"/>
      <c r="E234" s="80"/>
      <c r="F234" s="80"/>
      <c r="G234" s="80"/>
    </row>
    <row r="235" spans="1:7" x14ac:dyDescent="0.3">
      <c r="A235" t="s">
        <v>421</v>
      </c>
      <c r="B235" s="80"/>
      <c r="C235" s="80"/>
      <c r="D235" s="80"/>
      <c r="E235" s="80"/>
      <c r="F235" s="80"/>
      <c r="G235" s="80"/>
    </row>
    <row r="236" spans="1:7" x14ac:dyDescent="0.3">
      <c r="A236" t="s">
        <v>422</v>
      </c>
      <c r="B236" s="80"/>
      <c r="C236" s="80"/>
      <c r="D236" s="80"/>
      <c r="E236" s="80"/>
      <c r="F236" s="80"/>
      <c r="G236" s="80"/>
    </row>
    <row r="237" spans="1:7" x14ac:dyDescent="0.3">
      <c r="A237" t="s">
        <v>435</v>
      </c>
      <c r="B237" s="80"/>
      <c r="C237" s="80"/>
      <c r="D237" s="80"/>
      <c r="E237" s="80"/>
      <c r="F237" s="80"/>
      <c r="G237" s="80"/>
    </row>
    <row r="238" spans="1:7" x14ac:dyDescent="0.3">
      <c r="A238" t="s">
        <v>436</v>
      </c>
      <c r="B238" s="80"/>
      <c r="C238" s="80"/>
      <c r="D238" s="80"/>
      <c r="E238" s="80"/>
      <c r="F238" s="80"/>
      <c r="G238" s="80"/>
    </row>
    <row r="239" spans="1:7" x14ac:dyDescent="0.3">
      <c r="A239" t="s">
        <v>437</v>
      </c>
      <c r="B239" s="80"/>
      <c r="C239" s="80"/>
      <c r="D239" s="80"/>
      <c r="E239" s="80"/>
      <c r="F239" s="80"/>
      <c r="G239" s="80"/>
    </row>
    <row r="240" spans="1:7" x14ac:dyDescent="0.3">
      <c r="A240" t="s">
        <v>438</v>
      </c>
      <c r="B240" s="80"/>
      <c r="C240" s="80"/>
      <c r="D240" s="80"/>
      <c r="E240" s="80"/>
      <c r="F240" s="80"/>
      <c r="G240" s="80"/>
    </row>
    <row r="241" spans="1:7" x14ac:dyDescent="0.3">
      <c r="A241" t="s">
        <v>235</v>
      </c>
      <c r="B241" s="80">
        <v>20045.9264</v>
      </c>
      <c r="C241" s="80">
        <v>38.689599999999999</v>
      </c>
      <c r="D241" s="80">
        <v>40.098799999999997</v>
      </c>
      <c r="E241" s="80">
        <v>43.359900000000003</v>
      </c>
      <c r="F241" s="80">
        <v>27368.031999999999</v>
      </c>
      <c r="G241" s="80"/>
    </row>
    <row r="242" spans="1:7" x14ac:dyDescent="0.3">
      <c r="A242" t="s">
        <v>236</v>
      </c>
      <c r="B242" s="80">
        <v>5731.3879999999999</v>
      </c>
      <c r="C242" s="80">
        <v>36.701999999999998</v>
      </c>
      <c r="D242" s="80">
        <v>38.886200000000002</v>
      </c>
      <c r="E242" s="80">
        <v>41.406399999999998</v>
      </c>
      <c r="F242" s="80">
        <v>21093.71</v>
      </c>
      <c r="G242" s="80"/>
    </row>
    <row r="243" spans="1:7" x14ac:dyDescent="0.3">
      <c r="A243" t="s">
        <v>237</v>
      </c>
      <c r="B243" s="80">
        <v>2574.5279999999998</v>
      </c>
      <c r="C243" s="80">
        <v>34.561399999999999</v>
      </c>
      <c r="D243" s="80">
        <v>37.917200000000001</v>
      </c>
      <c r="E243" s="80">
        <v>39.781300000000002</v>
      </c>
      <c r="F243" s="80">
        <v>18648.613000000001</v>
      </c>
      <c r="G243" s="80"/>
    </row>
    <row r="244" spans="1:7" x14ac:dyDescent="0.3">
      <c r="A244" t="s">
        <v>238</v>
      </c>
      <c r="B244" s="80">
        <v>1269.2031999999999</v>
      </c>
      <c r="C244" s="80">
        <v>32.259500000000003</v>
      </c>
      <c r="D244" s="80">
        <v>37.174799999999998</v>
      </c>
      <c r="E244" s="80">
        <v>38.562600000000003</v>
      </c>
      <c r="F244" s="80">
        <v>17270.069</v>
      </c>
      <c r="G244" s="80"/>
    </row>
    <row r="245" spans="1:7" x14ac:dyDescent="0.3">
      <c r="A245" t="s">
        <v>239</v>
      </c>
      <c r="B245" s="80">
        <v>19836.4696</v>
      </c>
      <c r="C245" s="80">
        <v>39.417299999999997</v>
      </c>
      <c r="D245" s="80">
        <v>43.628399999999999</v>
      </c>
      <c r="E245" s="80">
        <v>44.829599999999999</v>
      </c>
      <c r="F245" s="80">
        <v>30278.527999999998</v>
      </c>
      <c r="G245" s="80"/>
    </row>
    <row r="246" spans="1:7" x14ac:dyDescent="0.3">
      <c r="A246" t="s">
        <v>240</v>
      </c>
      <c r="B246" s="80">
        <v>6748.9344000000001</v>
      </c>
      <c r="C246" s="80">
        <v>37.497199999999999</v>
      </c>
      <c r="D246" s="80">
        <v>42.197800000000001</v>
      </c>
      <c r="E246" s="80">
        <v>42.661200000000001</v>
      </c>
      <c r="F246" s="80">
        <v>24652.207999999999</v>
      </c>
      <c r="G246" s="80"/>
    </row>
    <row r="247" spans="1:7" x14ac:dyDescent="0.3">
      <c r="A247" t="s">
        <v>241</v>
      </c>
      <c r="B247" s="80">
        <v>3113.1759999999999</v>
      </c>
      <c r="C247" s="80">
        <v>35.514499999999998</v>
      </c>
      <c r="D247" s="80">
        <v>40.826099999999997</v>
      </c>
      <c r="E247" s="80">
        <v>40.704799999999999</v>
      </c>
      <c r="F247" s="80">
        <v>21607.21</v>
      </c>
      <c r="G247" s="80"/>
    </row>
    <row r="248" spans="1:7" x14ac:dyDescent="0.3">
      <c r="A248" t="s">
        <v>242</v>
      </c>
      <c r="B248" s="80">
        <v>1584.1024</v>
      </c>
      <c r="C248" s="80">
        <v>33.380000000000003</v>
      </c>
      <c r="D248" s="80">
        <v>39.866100000000003</v>
      </c>
      <c r="E248" s="80">
        <v>39.383499999999998</v>
      </c>
      <c r="F248" s="80">
        <v>19813.150000000001</v>
      </c>
      <c r="G248" s="80"/>
    </row>
    <row r="249" spans="1:7" x14ac:dyDescent="0.3">
      <c r="A249" t="s">
        <v>243</v>
      </c>
      <c r="B249" s="80">
        <v>52820.532800000001</v>
      </c>
      <c r="C249" s="80">
        <v>38.2425</v>
      </c>
      <c r="D249" s="80">
        <v>41.957900000000002</v>
      </c>
      <c r="E249" s="80">
        <v>44.095100000000002</v>
      </c>
      <c r="F249" s="80">
        <v>39510.942000000003</v>
      </c>
      <c r="G249" s="80"/>
    </row>
    <row r="250" spans="1:7" x14ac:dyDescent="0.3">
      <c r="A250" t="s">
        <v>244</v>
      </c>
      <c r="B250" s="80">
        <v>7565.1184000000003</v>
      </c>
      <c r="C250" s="80">
        <v>35.403300000000002</v>
      </c>
      <c r="D250" s="80">
        <v>40.445999999999998</v>
      </c>
      <c r="E250" s="80">
        <v>42.812600000000003</v>
      </c>
      <c r="F250" s="80">
        <v>25089.822</v>
      </c>
      <c r="G250" s="80"/>
    </row>
    <row r="251" spans="1:7" x14ac:dyDescent="0.3">
      <c r="A251" t="s">
        <v>245</v>
      </c>
      <c r="B251" s="80">
        <v>1995.0064</v>
      </c>
      <c r="C251" s="80">
        <v>33.582000000000001</v>
      </c>
      <c r="D251" s="80">
        <v>39.128399999999999</v>
      </c>
      <c r="E251" s="80">
        <v>41.714399999999998</v>
      </c>
      <c r="F251" s="80">
        <v>21121.347000000002</v>
      </c>
      <c r="G251" s="80"/>
    </row>
    <row r="252" spans="1:7" x14ac:dyDescent="0.3">
      <c r="A252" t="s">
        <v>246</v>
      </c>
      <c r="B252" s="80">
        <v>762.17280000000005</v>
      </c>
      <c r="C252" s="80">
        <v>31.373000000000001</v>
      </c>
      <c r="D252" s="80">
        <v>38.250599999999999</v>
      </c>
      <c r="E252" s="80">
        <v>40.969700000000003</v>
      </c>
      <c r="F252" s="80">
        <v>19368.923999999999</v>
      </c>
      <c r="G252" s="80"/>
    </row>
    <row r="253" spans="1:7" x14ac:dyDescent="0.3">
      <c r="A253" t="s">
        <v>247</v>
      </c>
      <c r="B253" s="80"/>
      <c r="C253" s="80"/>
      <c r="D253" s="80"/>
      <c r="E253" s="80"/>
      <c r="F253" s="80"/>
      <c r="G253" s="80"/>
    </row>
    <row r="254" spans="1:7" x14ac:dyDescent="0.3">
      <c r="A254" t="s">
        <v>248</v>
      </c>
      <c r="B254" s="80"/>
      <c r="C254" s="80"/>
      <c r="D254" s="80"/>
      <c r="E254" s="80"/>
      <c r="F254" s="80"/>
      <c r="G254" s="80"/>
    </row>
    <row r="255" spans="1:7" x14ac:dyDescent="0.3">
      <c r="A255" t="s">
        <v>249</v>
      </c>
      <c r="B255" s="80"/>
      <c r="C255" s="80"/>
      <c r="D255" s="80"/>
      <c r="E255" s="80"/>
      <c r="F255" s="80"/>
      <c r="G255" s="80"/>
    </row>
    <row r="256" spans="1:7" x14ac:dyDescent="0.3">
      <c r="A256" t="s">
        <v>250</v>
      </c>
      <c r="B256" s="80"/>
      <c r="C256" s="80"/>
      <c r="D256" s="80"/>
      <c r="E256" s="80"/>
      <c r="F256" s="80"/>
      <c r="G256" s="80"/>
    </row>
    <row r="257" spans="1:7" x14ac:dyDescent="0.3">
      <c r="A257" t="s">
        <v>251</v>
      </c>
      <c r="B257" s="80"/>
      <c r="C257" s="80"/>
      <c r="D257" s="80"/>
      <c r="E257" s="80"/>
      <c r="F257" s="80"/>
      <c r="G257" s="80"/>
    </row>
    <row r="258" spans="1:7" x14ac:dyDescent="0.3">
      <c r="A258" t="s">
        <v>252</v>
      </c>
      <c r="B258" s="80"/>
      <c r="C258" s="80"/>
      <c r="D258" s="80"/>
      <c r="E258" s="80"/>
      <c r="F258" s="80"/>
      <c r="G258" s="80"/>
    </row>
    <row r="259" spans="1:7" x14ac:dyDescent="0.3">
      <c r="A259" t="s">
        <v>253</v>
      </c>
      <c r="B259" s="80"/>
      <c r="C259" s="80"/>
      <c r="D259" s="80"/>
      <c r="E259" s="80"/>
      <c r="F259" s="80"/>
      <c r="G259" s="80"/>
    </row>
    <row r="260" spans="1:7" x14ac:dyDescent="0.3">
      <c r="A260" t="s">
        <v>254</v>
      </c>
      <c r="B260" s="80"/>
      <c r="C260" s="80"/>
      <c r="D260" s="80"/>
      <c r="E260" s="80"/>
      <c r="F260" s="80"/>
      <c r="G260" s="80"/>
    </row>
    <row r="261" spans="1:7" x14ac:dyDescent="0.3">
      <c r="A261" t="s">
        <v>255</v>
      </c>
      <c r="B261" s="80"/>
      <c r="C261" s="80"/>
      <c r="D261" s="80"/>
      <c r="E261" s="80"/>
      <c r="F261" s="80"/>
      <c r="G261" s="80"/>
    </row>
    <row r="262" spans="1:7" x14ac:dyDescent="0.3">
      <c r="A262" t="s">
        <v>256</v>
      </c>
      <c r="B262" s="80"/>
      <c r="C262" s="80"/>
      <c r="D262" s="80"/>
      <c r="E262" s="80"/>
      <c r="F262" s="80"/>
      <c r="G262" s="80"/>
    </row>
    <row r="263" spans="1:7" x14ac:dyDescent="0.3">
      <c r="A263" t="s">
        <v>257</v>
      </c>
      <c r="B263" s="80"/>
      <c r="C263" s="80"/>
      <c r="D263" s="80"/>
      <c r="E263" s="80"/>
      <c r="F263" s="80"/>
      <c r="G263" s="80"/>
    </row>
    <row r="264" spans="1:7" x14ac:dyDescent="0.3">
      <c r="A264" t="s">
        <v>258</v>
      </c>
      <c r="B264" s="80"/>
      <c r="C264" s="80"/>
      <c r="D264" s="80"/>
      <c r="E264" s="80"/>
      <c r="F264" s="80"/>
      <c r="G264" s="80"/>
    </row>
    <row r="265" spans="1:7" x14ac:dyDescent="0.3">
      <c r="A265" t="s">
        <v>259</v>
      </c>
    </row>
    <row r="266" spans="1:7" x14ac:dyDescent="0.3">
      <c r="A266" t="s">
        <v>260</v>
      </c>
    </row>
    <row r="267" spans="1:7" x14ac:dyDescent="0.3">
      <c r="A267" t="s">
        <v>261</v>
      </c>
    </row>
    <row r="268" spans="1:7" x14ac:dyDescent="0.3">
      <c r="A268" t="s">
        <v>262</v>
      </c>
    </row>
    <row r="269" spans="1:7" x14ac:dyDescent="0.3">
      <c r="A269" t="s">
        <v>263</v>
      </c>
    </row>
    <row r="270" spans="1:7" x14ac:dyDescent="0.3">
      <c r="A270" t="s">
        <v>264</v>
      </c>
    </row>
    <row r="271" spans="1:7" x14ac:dyDescent="0.3">
      <c r="A271" t="s">
        <v>265</v>
      </c>
    </row>
    <row r="272" spans="1:7" x14ac:dyDescent="0.3">
      <c r="A272" t="s">
        <v>266</v>
      </c>
    </row>
    <row r="273" spans="1:6" x14ac:dyDescent="0.3">
      <c r="A273" t="s">
        <v>267</v>
      </c>
    </row>
    <row r="274" spans="1:6" x14ac:dyDescent="0.3">
      <c r="A274" t="s">
        <v>268</v>
      </c>
    </row>
    <row r="275" spans="1:6" x14ac:dyDescent="0.3">
      <c r="A275" t="s">
        <v>269</v>
      </c>
    </row>
    <row r="276" spans="1:6" x14ac:dyDescent="0.3">
      <c r="A276" t="s">
        <v>270</v>
      </c>
    </row>
    <row r="277" spans="1:6" x14ac:dyDescent="0.3">
      <c r="A277" t="s">
        <v>271</v>
      </c>
    </row>
    <row r="278" spans="1:6" x14ac:dyDescent="0.3">
      <c r="A278" t="s">
        <v>272</v>
      </c>
    </row>
    <row r="279" spans="1:6" x14ac:dyDescent="0.3">
      <c r="A279" t="s">
        <v>273</v>
      </c>
    </row>
    <row r="280" spans="1:6" x14ac:dyDescent="0.3">
      <c r="A280" t="s">
        <v>274</v>
      </c>
    </row>
    <row r="281" spans="1:6" x14ac:dyDescent="0.3">
      <c r="A281" t="s">
        <v>275</v>
      </c>
    </row>
    <row r="282" spans="1:6" x14ac:dyDescent="0.3">
      <c r="A282" t="s">
        <v>276</v>
      </c>
    </row>
    <row r="283" spans="1:6" x14ac:dyDescent="0.3">
      <c r="A283" t="s">
        <v>277</v>
      </c>
    </row>
    <row r="284" spans="1:6" x14ac:dyDescent="0.3">
      <c r="A284" t="s">
        <v>278</v>
      </c>
    </row>
    <row r="285" spans="1:6" x14ac:dyDescent="0.3">
      <c r="A285" t="s">
        <v>279</v>
      </c>
      <c r="B285">
        <v>2226.2568000000001</v>
      </c>
      <c r="C285">
        <v>42.529000000000003</v>
      </c>
      <c r="D285">
        <v>46.305900000000001</v>
      </c>
      <c r="E285">
        <v>47.539400000000001</v>
      </c>
      <c r="F285">
        <v>9477.5720000000001</v>
      </c>
    </row>
    <row r="286" spans="1:6" x14ac:dyDescent="0.3">
      <c r="A286" t="s">
        <v>280</v>
      </c>
      <c r="B286">
        <v>865.4</v>
      </c>
      <c r="C286">
        <v>40.229300000000002</v>
      </c>
      <c r="D286">
        <v>44.227200000000003</v>
      </c>
      <c r="E286">
        <v>45.488599999999998</v>
      </c>
      <c r="F286">
        <v>8448.9470000000001</v>
      </c>
    </row>
    <row r="287" spans="1:6" x14ac:dyDescent="0.3">
      <c r="A287" t="s">
        <v>281</v>
      </c>
      <c r="B287">
        <v>422.85520000000002</v>
      </c>
      <c r="C287">
        <v>37.574599999999997</v>
      </c>
      <c r="D287">
        <v>42.425699999999999</v>
      </c>
      <c r="E287">
        <v>43.6113</v>
      </c>
      <c r="F287">
        <v>7951.0749999999998</v>
      </c>
    </row>
    <row r="288" spans="1:6" x14ac:dyDescent="0.3">
      <c r="A288" t="s">
        <v>282</v>
      </c>
      <c r="B288">
        <v>220.05760000000001</v>
      </c>
      <c r="C288">
        <v>34.624400000000001</v>
      </c>
      <c r="D288">
        <v>41.163600000000002</v>
      </c>
      <c r="E288">
        <v>42.268500000000003</v>
      </c>
      <c r="F288">
        <v>7628.2389999999996</v>
      </c>
    </row>
    <row r="289" spans="1:6" x14ac:dyDescent="0.3">
      <c r="A289" t="s">
        <v>283</v>
      </c>
      <c r="B289">
        <v>1507.4567999999999</v>
      </c>
      <c r="C289">
        <v>42.958199999999998</v>
      </c>
      <c r="D289">
        <v>47.854599999999998</v>
      </c>
      <c r="E289">
        <v>48.444000000000003</v>
      </c>
      <c r="F289">
        <v>9143.3729999999996</v>
      </c>
    </row>
    <row r="290" spans="1:6" x14ac:dyDescent="0.3">
      <c r="A290" t="s">
        <v>284</v>
      </c>
      <c r="B290">
        <v>416.87759999999997</v>
      </c>
      <c r="C290">
        <v>41.137799999999999</v>
      </c>
      <c r="D290">
        <v>46.136400000000002</v>
      </c>
      <c r="E290">
        <v>46.826500000000003</v>
      </c>
      <c r="F290">
        <v>8097.77</v>
      </c>
    </row>
    <row r="291" spans="1:6" x14ac:dyDescent="0.3">
      <c r="A291" t="s">
        <v>285</v>
      </c>
      <c r="B291">
        <v>184.49520000000001</v>
      </c>
      <c r="C291">
        <v>38.992600000000003</v>
      </c>
      <c r="D291">
        <v>44.529000000000003</v>
      </c>
      <c r="E291">
        <v>44.967799999999997</v>
      </c>
      <c r="F291">
        <v>7695.8379999999997</v>
      </c>
    </row>
    <row r="292" spans="1:6" x14ac:dyDescent="0.3">
      <c r="A292" t="s">
        <v>286</v>
      </c>
      <c r="B292">
        <v>96.075999999999993</v>
      </c>
      <c r="C292">
        <v>36.467799999999997</v>
      </c>
      <c r="D292">
        <v>43.226799999999997</v>
      </c>
      <c r="E292">
        <v>43.624499999999998</v>
      </c>
      <c r="F292">
        <v>7462.3689999999997</v>
      </c>
    </row>
    <row r="293" spans="1:6" x14ac:dyDescent="0.3">
      <c r="A293" t="s">
        <v>287</v>
      </c>
      <c r="B293">
        <v>1968.3943999999999</v>
      </c>
      <c r="C293">
        <v>43.222099999999998</v>
      </c>
      <c r="D293">
        <v>47.037599999999998</v>
      </c>
      <c r="E293">
        <v>47.9955</v>
      </c>
      <c r="F293">
        <v>9820.1710000000003</v>
      </c>
    </row>
    <row r="294" spans="1:6" x14ac:dyDescent="0.3">
      <c r="A294" t="s">
        <v>288</v>
      </c>
      <c r="B294">
        <v>698.15039999999999</v>
      </c>
      <c r="C294">
        <v>41.080100000000002</v>
      </c>
      <c r="D294">
        <v>45.2331</v>
      </c>
      <c r="E294">
        <v>46.097499999999997</v>
      </c>
      <c r="F294">
        <v>8747.7749999999996</v>
      </c>
    </row>
    <row r="295" spans="1:6" x14ac:dyDescent="0.3">
      <c r="A295" t="s">
        <v>289</v>
      </c>
      <c r="B295">
        <v>315.7912</v>
      </c>
      <c r="C295">
        <v>38.652000000000001</v>
      </c>
      <c r="D295">
        <v>43.384099999999997</v>
      </c>
      <c r="E295">
        <v>44.341700000000003</v>
      </c>
      <c r="F295">
        <v>8186.6679999999997</v>
      </c>
    </row>
    <row r="296" spans="1:6" x14ac:dyDescent="0.3">
      <c r="A296" t="s">
        <v>290</v>
      </c>
      <c r="B296">
        <v>161.06399999999999</v>
      </c>
      <c r="C296">
        <v>35.936199999999999</v>
      </c>
      <c r="D296">
        <v>42.1021</v>
      </c>
      <c r="E296">
        <v>42.9435</v>
      </c>
      <c r="F296">
        <v>7797.0990000000002</v>
      </c>
    </row>
    <row r="297" spans="1:6" x14ac:dyDescent="0.3">
      <c r="A297" t="s">
        <v>291</v>
      </c>
    </row>
    <row r="298" spans="1:6" x14ac:dyDescent="0.3">
      <c r="A298" t="s">
        <v>292</v>
      </c>
    </row>
    <row r="299" spans="1:6" x14ac:dyDescent="0.3">
      <c r="A299" t="s">
        <v>293</v>
      </c>
    </row>
    <row r="300" spans="1:6" x14ac:dyDescent="0.3">
      <c r="A300" t="s">
        <v>294</v>
      </c>
    </row>
    <row r="301" spans="1:6" x14ac:dyDescent="0.3">
      <c r="A301" t="s">
        <v>481</v>
      </c>
    </row>
    <row r="302" spans="1:6" x14ac:dyDescent="0.3">
      <c r="A302" t="s">
        <v>482</v>
      </c>
    </row>
    <row r="303" spans="1:6" x14ac:dyDescent="0.3">
      <c r="A303" t="s">
        <v>483</v>
      </c>
    </row>
    <row r="304" spans="1:6" x14ac:dyDescent="0.3">
      <c r="A304" t="s">
        <v>484</v>
      </c>
    </row>
    <row r="305" spans="1:1" x14ac:dyDescent="0.3">
      <c r="A305" t="s">
        <v>295</v>
      </c>
    </row>
    <row r="306" spans="1:1" x14ac:dyDescent="0.3">
      <c r="A306" t="s">
        <v>296</v>
      </c>
    </row>
    <row r="307" spans="1:1" x14ac:dyDescent="0.3">
      <c r="A307" t="s">
        <v>297</v>
      </c>
    </row>
    <row r="308" spans="1:1" x14ac:dyDescent="0.3">
      <c r="A308" t="s">
        <v>298</v>
      </c>
    </row>
    <row r="309" spans="1:1" x14ac:dyDescent="0.3">
      <c r="A309" t="s">
        <v>299</v>
      </c>
    </row>
    <row r="310" spans="1:1" x14ac:dyDescent="0.3">
      <c r="A310" t="s">
        <v>300</v>
      </c>
    </row>
    <row r="311" spans="1:1" x14ac:dyDescent="0.3">
      <c r="A311" t="s">
        <v>301</v>
      </c>
    </row>
    <row r="312" spans="1:1" x14ac:dyDescent="0.3">
      <c r="A312" t="s">
        <v>302</v>
      </c>
    </row>
    <row r="313" spans="1:1" x14ac:dyDescent="0.3">
      <c r="A313" t="s">
        <v>303</v>
      </c>
    </row>
    <row r="314" spans="1:1" x14ac:dyDescent="0.3">
      <c r="A314" t="s">
        <v>304</v>
      </c>
    </row>
    <row r="315" spans="1:1" x14ac:dyDescent="0.3">
      <c r="A315" t="s">
        <v>305</v>
      </c>
    </row>
    <row r="316" spans="1:1" x14ac:dyDescent="0.3">
      <c r="A316" t="s">
        <v>306</v>
      </c>
    </row>
    <row r="317" spans="1:1" x14ac:dyDescent="0.3">
      <c r="A317" t="s">
        <v>443</v>
      </c>
    </row>
    <row r="318" spans="1:1" x14ac:dyDescent="0.3">
      <c r="A318" t="s">
        <v>444</v>
      </c>
    </row>
    <row r="319" spans="1:1" x14ac:dyDescent="0.3">
      <c r="A319" t="s">
        <v>445</v>
      </c>
    </row>
    <row r="320" spans="1:1" x14ac:dyDescent="0.3">
      <c r="A320" t="s">
        <v>446</v>
      </c>
    </row>
    <row r="321" spans="1:1" x14ac:dyDescent="0.3">
      <c r="A321" t="s">
        <v>510</v>
      </c>
    </row>
    <row r="322" spans="1:1" x14ac:dyDescent="0.3">
      <c r="A322" t="s">
        <v>511</v>
      </c>
    </row>
    <row r="323" spans="1:1" x14ac:dyDescent="0.3">
      <c r="A323" t="s">
        <v>512</v>
      </c>
    </row>
    <row r="324" spans="1:1" x14ac:dyDescent="0.3">
      <c r="A324" t="s">
        <v>513</v>
      </c>
    </row>
    <row r="325" spans="1:1" x14ac:dyDescent="0.3">
      <c r="A325" t="s">
        <v>527</v>
      </c>
    </row>
    <row r="326" spans="1:1" x14ac:dyDescent="0.3">
      <c r="A326" t="s">
        <v>528</v>
      </c>
    </row>
    <row r="327" spans="1:1" x14ac:dyDescent="0.3">
      <c r="A327" t="s">
        <v>529</v>
      </c>
    </row>
    <row r="328" spans="1:1" x14ac:dyDescent="0.3">
      <c r="A328" t="s">
        <v>530</v>
      </c>
    </row>
    <row r="329" spans="1:1" x14ac:dyDescent="0.3">
      <c r="A329" t="s">
        <v>307</v>
      </c>
    </row>
    <row r="330" spans="1:1" x14ac:dyDescent="0.3">
      <c r="A330" t="s">
        <v>308</v>
      </c>
    </row>
    <row r="331" spans="1:1" x14ac:dyDescent="0.3">
      <c r="A331" t="s">
        <v>309</v>
      </c>
    </row>
    <row r="332" spans="1:1" x14ac:dyDescent="0.3">
      <c r="A332" t="s">
        <v>310</v>
      </c>
    </row>
    <row r="333" spans="1:1" x14ac:dyDescent="0.3">
      <c r="A333" t="s">
        <v>447</v>
      </c>
    </row>
    <row r="334" spans="1:1" x14ac:dyDescent="0.3">
      <c r="A334" t="s">
        <v>448</v>
      </c>
    </row>
    <row r="335" spans="1:1" x14ac:dyDescent="0.3">
      <c r="A335" t="s">
        <v>449</v>
      </c>
    </row>
    <row r="336" spans="1:1" x14ac:dyDescent="0.3">
      <c r="A336" t="s">
        <v>310</v>
      </c>
    </row>
    <row r="337" spans="1:6" x14ac:dyDescent="0.3">
      <c r="A337" t="s">
        <v>423</v>
      </c>
    </row>
    <row r="338" spans="1:6" x14ac:dyDescent="0.3">
      <c r="A338" t="s">
        <v>424</v>
      </c>
    </row>
    <row r="339" spans="1:6" x14ac:dyDescent="0.3">
      <c r="A339" t="s">
        <v>425</v>
      </c>
    </row>
    <row r="340" spans="1:6" x14ac:dyDescent="0.3">
      <c r="A340" t="s">
        <v>426</v>
      </c>
    </row>
    <row r="341" spans="1:6" x14ac:dyDescent="0.3">
      <c r="A341" t="s">
        <v>439</v>
      </c>
    </row>
    <row r="342" spans="1:6" x14ac:dyDescent="0.3">
      <c r="A342" t="s">
        <v>440</v>
      </c>
    </row>
    <row r="343" spans="1:6" x14ac:dyDescent="0.3">
      <c r="A343" t="s">
        <v>441</v>
      </c>
    </row>
    <row r="344" spans="1:6" x14ac:dyDescent="0.3">
      <c r="A344" t="s">
        <v>442</v>
      </c>
    </row>
    <row r="345" spans="1:6" x14ac:dyDescent="0.3">
      <c r="A345" t="s">
        <v>311</v>
      </c>
      <c r="B345">
        <v>22908.132799999999</v>
      </c>
      <c r="C345">
        <v>38.584400000000002</v>
      </c>
      <c r="D345">
        <v>40.063499999999998</v>
      </c>
      <c r="E345">
        <v>43.335999999999999</v>
      </c>
      <c r="F345">
        <v>20842.294999999998</v>
      </c>
    </row>
    <row r="346" spans="1:6" x14ac:dyDescent="0.3">
      <c r="A346" t="s">
        <v>312</v>
      </c>
      <c r="B346">
        <v>6034.6904000000004</v>
      </c>
      <c r="C346">
        <v>36.627200000000002</v>
      </c>
      <c r="D346">
        <v>38.862900000000003</v>
      </c>
      <c r="E346">
        <v>41.406300000000002</v>
      </c>
      <c r="F346">
        <v>14882.913</v>
      </c>
    </row>
    <row r="347" spans="1:6" x14ac:dyDescent="0.3">
      <c r="A347" t="s">
        <v>313</v>
      </c>
      <c r="B347">
        <v>2652.6183999999998</v>
      </c>
      <c r="C347">
        <v>34.496699999999997</v>
      </c>
      <c r="D347">
        <v>37.893999999999998</v>
      </c>
      <c r="E347">
        <v>39.746899999999997</v>
      </c>
      <c r="F347">
        <v>12595.316999999999</v>
      </c>
    </row>
    <row r="348" spans="1:6" x14ac:dyDescent="0.3">
      <c r="A348" t="s">
        <v>314</v>
      </c>
      <c r="B348">
        <v>1304.9416000000001</v>
      </c>
      <c r="C348">
        <v>32.206200000000003</v>
      </c>
      <c r="D348">
        <v>37.139099999999999</v>
      </c>
      <c r="E348">
        <v>38.520600000000002</v>
      </c>
      <c r="F348">
        <v>11388.18</v>
      </c>
    </row>
    <row r="349" spans="1:6" x14ac:dyDescent="0.3">
      <c r="A349" t="s">
        <v>315</v>
      </c>
      <c r="B349">
        <v>21512.488000000001</v>
      </c>
      <c r="C349">
        <v>39.3416</v>
      </c>
      <c r="D349">
        <v>43.569299999999998</v>
      </c>
      <c r="E349">
        <v>44.752400000000002</v>
      </c>
      <c r="F349">
        <v>23257.992999999999</v>
      </c>
    </row>
    <row r="350" spans="1:6" x14ac:dyDescent="0.3">
      <c r="A350" t="s">
        <v>316</v>
      </c>
      <c r="B350">
        <v>7161.3440000000001</v>
      </c>
      <c r="C350">
        <v>37.396799999999999</v>
      </c>
      <c r="D350">
        <v>42.130899999999997</v>
      </c>
      <c r="E350">
        <v>42.576500000000003</v>
      </c>
      <c r="F350">
        <v>17789.109</v>
      </c>
    </row>
    <row r="351" spans="1:6" x14ac:dyDescent="0.3">
      <c r="A351" t="s">
        <v>317</v>
      </c>
      <c r="B351">
        <v>3269.5472</v>
      </c>
      <c r="C351">
        <v>35.3825</v>
      </c>
      <c r="D351">
        <v>40.732100000000003</v>
      </c>
      <c r="E351">
        <v>40.599800000000002</v>
      </c>
      <c r="F351">
        <v>14997.326999999999</v>
      </c>
    </row>
    <row r="352" spans="1:6" x14ac:dyDescent="0.3">
      <c r="A352" t="s">
        <v>318</v>
      </c>
      <c r="B352">
        <v>1660.6376</v>
      </c>
      <c r="C352">
        <v>33.232900000000001</v>
      </c>
      <c r="D352">
        <v>39.761899999999997</v>
      </c>
      <c r="E352">
        <v>39.2928</v>
      </c>
      <c r="F352">
        <v>13328.755999999999</v>
      </c>
    </row>
    <row r="353" spans="1:6" x14ac:dyDescent="0.3">
      <c r="A353" t="s">
        <v>319</v>
      </c>
      <c r="B353">
        <v>64604.739200000004</v>
      </c>
      <c r="C353">
        <v>38.290700000000001</v>
      </c>
      <c r="D353">
        <v>41.826700000000002</v>
      </c>
      <c r="E353">
        <v>43.992400000000004</v>
      </c>
      <c r="F353">
        <v>31249.905999999999</v>
      </c>
    </row>
    <row r="354" spans="1:6" x14ac:dyDescent="0.3">
      <c r="A354" t="s">
        <v>320</v>
      </c>
      <c r="B354">
        <v>9751.8320000000003</v>
      </c>
      <c r="C354">
        <v>35.126600000000003</v>
      </c>
      <c r="D354">
        <v>40.383099999999999</v>
      </c>
      <c r="E354">
        <v>42.776400000000002</v>
      </c>
      <c r="F354">
        <v>17531.742999999999</v>
      </c>
    </row>
    <row r="355" spans="1:6" x14ac:dyDescent="0.3">
      <c r="A355" t="s">
        <v>321</v>
      </c>
      <c r="B355">
        <v>2357.8175999999999</v>
      </c>
      <c r="C355">
        <v>33.403799999999997</v>
      </c>
      <c r="D355">
        <v>39.091999999999999</v>
      </c>
      <c r="E355">
        <v>41.724600000000002</v>
      </c>
      <c r="F355">
        <v>13578.299000000001</v>
      </c>
    </row>
    <row r="356" spans="1:6" x14ac:dyDescent="0.3">
      <c r="A356" t="s">
        <v>322</v>
      </c>
      <c r="B356">
        <v>844.7</v>
      </c>
      <c r="C356">
        <v>31.2559</v>
      </c>
      <c r="D356">
        <v>38.212499999999999</v>
      </c>
      <c r="E356">
        <v>40.905299999999997</v>
      </c>
      <c r="F356">
        <v>12031.638000000001</v>
      </c>
    </row>
    <row r="357" spans="1:6" x14ac:dyDescent="0.3">
      <c r="A357" t="s">
        <v>323</v>
      </c>
    </row>
    <row r="358" spans="1:6" x14ac:dyDescent="0.3">
      <c r="A358" t="s">
        <v>324</v>
      </c>
    </row>
    <row r="359" spans="1:6" x14ac:dyDescent="0.3">
      <c r="A359" t="s">
        <v>325</v>
      </c>
    </row>
    <row r="360" spans="1:6" x14ac:dyDescent="0.3">
      <c r="A360" t="s">
        <v>326</v>
      </c>
    </row>
    <row r="361" spans="1:6" x14ac:dyDescent="0.3">
      <c r="A361" t="s">
        <v>327</v>
      </c>
    </row>
    <row r="362" spans="1:6" x14ac:dyDescent="0.3">
      <c r="A362" t="s">
        <v>328</v>
      </c>
    </row>
    <row r="363" spans="1:6" x14ac:dyDescent="0.3">
      <c r="A363" t="s">
        <v>329</v>
      </c>
    </row>
    <row r="364" spans="1:6" x14ac:dyDescent="0.3">
      <c r="A364" t="s">
        <v>330</v>
      </c>
    </row>
    <row r="365" spans="1:6" x14ac:dyDescent="0.3">
      <c r="A365" t="s">
        <v>331</v>
      </c>
    </row>
    <row r="366" spans="1:6" x14ac:dyDescent="0.3">
      <c r="A366" t="s">
        <v>332</v>
      </c>
    </row>
    <row r="367" spans="1:6" x14ac:dyDescent="0.3">
      <c r="A367" t="s">
        <v>333</v>
      </c>
    </row>
    <row r="368" spans="1:6" x14ac:dyDescent="0.3">
      <c r="A368" t="s">
        <v>334</v>
      </c>
    </row>
    <row r="369" spans="1:1" x14ac:dyDescent="0.3">
      <c r="A369" t="s">
        <v>335</v>
      </c>
    </row>
    <row r="370" spans="1:1" x14ac:dyDescent="0.3">
      <c r="A370" t="s">
        <v>336</v>
      </c>
    </row>
    <row r="371" spans="1:1" x14ac:dyDescent="0.3">
      <c r="A371" t="s">
        <v>337</v>
      </c>
    </row>
    <row r="372" spans="1:1" x14ac:dyDescent="0.3">
      <c r="A372" t="s">
        <v>338</v>
      </c>
    </row>
    <row r="373" spans="1:1" x14ac:dyDescent="0.3">
      <c r="A373" t="s">
        <v>339</v>
      </c>
    </row>
    <row r="374" spans="1:1" x14ac:dyDescent="0.3">
      <c r="A374" t="s">
        <v>340</v>
      </c>
    </row>
    <row r="375" spans="1:1" x14ac:dyDescent="0.3">
      <c r="A375" t="s">
        <v>341</v>
      </c>
    </row>
    <row r="376" spans="1:1" x14ac:dyDescent="0.3">
      <c r="A376" t="s">
        <v>342</v>
      </c>
    </row>
    <row r="377" spans="1:1" x14ac:dyDescent="0.3">
      <c r="A377" t="s">
        <v>343</v>
      </c>
    </row>
    <row r="378" spans="1:1" x14ac:dyDescent="0.3">
      <c r="A378" t="s">
        <v>344</v>
      </c>
    </row>
    <row r="379" spans="1:1" x14ac:dyDescent="0.3">
      <c r="A379" t="s">
        <v>345</v>
      </c>
    </row>
    <row r="380" spans="1:1" x14ac:dyDescent="0.3">
      <c r="A380" t="s">
        <v>346</v>
      </c>
    </row>
    <row r="381" spans="1:1" x14ac:dyDescent="0.3">
      <c r="A381" t="s">
        <v>347</v>
      </c>
    </row>
    <row r="382" spans="1:1" x14ac:dyDescent="0.3">
      <c r="A382" t="s">
        <v>348</v>
      </c>
    </row>
    <row r="383" spans="1:1" x14ac:dyDescent="0.3">
      <c r="A383" t="s">
        <v>349</v>
      </c>
    </row>
    <row r="384" spans="1:1" x14ac:dyDescent="0.3">
      <c r="A384" t="s">
        <v>350</v>
      </c>
    </row>
    <row r="385" spans="1:6" x14ac:dyDescent="0.3">
      <c r="A385" t="s">
        <v>351</v>
      </c>
    </row>
    <row r="386" spans="1:6" x14ac:dyDescent="0.3">
      <c r="A386" t="s">
        <v>352</v>
      </c>
    </row>
    <row r="387" spans="1:6" x14ac:dyDescent="0.3">
      <c r="A387" t="s">
        <v>353</v>
      </c>
    </row>
    <row r="388" spans="1:6" x14ac:dyDescent="0.3">
      <c r="A388" t="s">
        <v>354</v>
      </c>
    </row>
    <row r="389" spans="1:6" x14ac:dyDescent="0.3">
      <c r="A389" t="s">
        <v>355</v>
      </c>
      <c r="B389">
        <v>2437.3784000000001</v>
      </c>
      <c r="C389">
        <v>42.376899999999999</v>
      </c>
      <c r="D389">
        <v>46.264800000000001</v>
      </c>
      <c r="E389">
        <v>47.520400000000002</v>
      </c>
      <c r="F389">
        <v>6514.1030000000001</v>
      </c>
    </row>
    <row r="390" spans="1:6" x14ac:dyDescent="0.3">
      <c r="A390" t="s">
        <v>356</v>
      </c>
      <c r="B390">
        <v>901.17200000000003</v>
      </c>
      <c r="C390">
        <v>40.117800000000003</v>
      </c>
      <c r="D390">
        <v>44.207500000000003</v>
      </c>
      <c r="E390">
        <v>45.461300000000001</v>
      </c>
      <c r="F390">
        <v>5561.817</v>
      </c>
    </row>
    <row r="391" spans="1:6" x14ac:dyDescent="0.3">
      <c r="A391" t="s">
        <v>357</v>
      </c>
      <c r="B391">
        <v>434.99279999999999</v>
      </c>
      <c r="C391">
        <v>37.508699999999997</v>
      </c>
      <c r="D391">
        <v>42.415300000000002</v>
      </c>
      <c r="E391">
        <v>43.603499999999997</v>
      </c>
      <c r="F391">
        <v>5124.6620000000003</v>
      </c>
    </row>
    <row r="392" spans="1:6" x14ac:dyDescent="0.3">
      <c r="A392" t="s">
        <v>358</v>
      </c>
      <c r="B392">
        <v>226.45920000000001</v>
      </c>
      <c r="C392">
        <v>34.581499999999998</v>
      </c>
      <c r="D392">
        <v>41.109000000000002</v>
      </c>
      <c r="E392">
        <v>42.228499999999997</v>
      </c>
      <c r="F392">
        <v>4883.4889999999996</v>
      </c>
    </row>
    <row r="393" spans="1:6" x14ac:dyDescent="0.3">
      <c r="A393" t="s">
        <v>359</v>
      </c>
      <c r="B393">
        <v>1859.9656</v>
      </c>
      <c r="C393">
        <v>42.775500000000001</v>
      </c>
      <c r="D393">
        <v>47.795900000000003</v>
      </c>
      <c r="E393">
        <v>48.432899999999997</v>
      </c>
      <c r="F393">
        <v>6194.2</v>
      </c>
    </row>
    <row r="394" spans="1:6" x14ac:dyDescent="0.3">
      <c r="A394" t="s">
        <v>360</v>
      </c>
      <c r="B394">
        <v>458.41919999999999</v>
      </c>
      <c r="C394">
        <v>40.988300000000002</v>
      </c>
      <c r="D394">
        <v>46.112000000000002</v>
      </c>
      <c r="E394">
        <v>46.759799999999998</v>
      </c>
      <c r="F394">
        <v>5179.9930000000004</v>
      </c>
    </row>
    <row r="395" spans="1:6" x14ac:dyDescent="0.3">
      <c r="A395" t="s">
        <v>361</v>
      </c>
      <c r="B395">
        <v>190.16</v>
      </c>
      <c r="C395">
        <v>38.851399999999998</v>
      </c>
      <c r="D395">
        <v>44.450699999999998</v>
      </c>
      <c r="E395">
        <v>44.913800000000002</v>
      </c>
      <c r="F395">
        <v>4854.3140000000003</v>
      </c>
    </row>
    <row r="396" spans="1:6" x14ac:dyDescent="0.3">
      <c r="A396" t="s">
        <v>362</v>
      </c>
      <c r="B396">
        <v>97.8352</v>
      </c>
      <c r="C396">
        <v>36.3675</v>
      </c>
      <c r="D396">
        <v>43.168799999999997</v>
      </c>
      <c r="E396">
        <v>43.558799999999998</v>
      </c>
      <c r="F396">
        <v>4692.4979999999996</v>
      </c>
    </row>
    <row r="397" spans="1:6" x14ac:dyDescent="0.3">
      <c r="A397" t="s">
        <v>363</v>
      </c>
      <c r="B397">
        <v>2166.4279999999999</v>
      </c>
      <c r="C397">
        <v>43.114100000000001</v>
      </c>
      <c r="D397">
        <v>46.997199999999999</v>
      </c>
      <c r="E397">
        <v>47.950499999999998</v>
      </c>
      <c r="F397">
        <v>6663.5680000000002</v>
      </c>
    </row>
    <row r="398" spans="1:6" x14ac:dyDescent="0.3">
      <c r="A398" t="s">
        <v>364</v>
      </c>
      <c r="B398">
        <v>729.9384</v>
      </c>
      <c r="C398">
        <v>41.000399999999999</v>
      </c>
      <c r="D398">
        <v>45.140799999999999</v>
      </c>
      <c r="E398">
        <v>46.028399999999998</v>
      </c>
      <c r="F398">
        <v>5714.7629999999999</v>
      </c>
    </row>
    <row r="399" spans="1:6" x14ac:dyDescent="0.3">
      <c r="A399" t="s">
        <v>365</v>
      </c>
      <c r="B399">
        <v>325.97680000000003</v>
      </c>
      <c r="C399">
        <v>38.591500000000003</v>
      </c>
      <c r="D399">
        <v>43.317</v>
      </c>
      <c r="E399">
        <v>44.310699999999997</v>
      </c>
      <c r="F399">
        <v>5253.366</v>
      </c>
    </row>
    <row r="400" spans="1:6" x14ac:dyDescent="0.3">
      <c r="A400" t="s">
        <v>366</v>
      </c>
      <c r="B400">
        <v>166.02080000000001</v>
      </c>
      <c r="C400">
        <v>35.871000000000002</v>
      </c>
      <c r="D400">
        <v>41.968000000000004</v>
      </c>
      <c r="E400">
        <v>42.834899999999998</v>
      </c>
      <c r="F400">
        <v>4984.0029999999997</v>
      </c>
    </row>
    <row r="401" spans="1:1" x14ac:dyDescent="0.3">
      <c r="A401" t="s">
        <v>367</v>
      </c>
    </row>
    <row r="402" spans="1:1" x14ac:dyDescent="0.3">
      <c r="A402" t="s">
        <v>368</v>
      </c>
    </row>
    <row r="403" spans="1:1" x14ac:dyDescent="0.3">
      <c r="A403" t="s">
        <v>369</v>
      </c>
    </row>
    <row r="404" spans="1:1" x14ac:dyDescent="0.3">
      <c r="A404" t="s">
        <v>370</v>
      </c>
    </row>
    <row r="405" spans="1:1" x14ac:dyDescent="0.3">
      <c r="A405" t="s">
        <v>477</v>
      </c>
    </row>
    <row r="406" spans="1:1" x14ac:dyDescent="0.3">
      <c r="A406" t="s">
        <v>478</v>
      </c>
    </row>
    <row r="407" spans="1:1" x14ac:dyDescent="0.3">
      <c r="A407" t="s">
        <v>479</v>
      </c>
    </row>
    <row r="408" spans="1:1" x14ac:dyDescent="0.3">
      <c r="A408" t="s">
        <v>480</v>
      </c>
    </row>
    <row r="409" spans="1:1" x14ac:dyDescent="0.3">
      <c r="A409" t="s">
        <v>371</v>
      </c>
    </row>
    <row r="410" spans="1:1" x14ac:dyDescent="0.3">
      <c r="A410" t="s">
        <v>372</v>
      </c>
    </row>
    <row r="411" spans="1:1" x14ac:dyDescent="0.3">
      <c r="A411" t="s">
        <v>373</v>
      </c>
    </row>
    <row r="412" spans="1:1" x14ac:dyDescent="0.3">
      <c r="A412" t="s">
        <v>374</v>
      </c>
    </row>
    <row r="413" spans="1:1" x14ac:dyDescent="0.3">
      <c r="A413" t="s">
        <v>375</v>
      </c>
    </row>
    <row r="414" spans="1:1" x14ac:dyDescent="0.3">
      <c r="A414" t="s">
        <v>376</v>
      </c>
    </row>
    <row r="415" spans="1:1" x14ac:dyDescent="0.3">
      <c r="A415" t="s">
        <v>377</v>
      </c>
    </row>
    <row r="416" spans="1:1" x14ac:dyDescent="0.3">
      <c r="A416" t="s">
        <v>378</v>
      </c>
    </row>
  </sheetData>
  <phoneticPr fontId="10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G416"/>
  <sheetViews>
    <sheetView workbookViewId="0">
      <selection activeCell="C17" sqref="C17"/>
    </sheetView>
  </sheetViews>
  <sheetFormatPr defaultColWidth="9" defaultRowHeight="17.25" x14ac:dyDescent="0.3"/>
  <cols>
    <col min="1" max="1" width="57.6640625" customWidth="1"/>
  </cols>
  <sheetData>
    <row r="1" spans="1:1" x14ac:dyDescent="0.3">
      <c r="A1" t="s">
        <v>75</v>
      </c>
    </row>
    <row r="2" spans="1:1" x14ac:dyDescent="0.3">
      <c r="A2" t="s">
        <v>76</v>
      </c>
    </row>
    <row r="3" spans="1:1" x14ac:dyDescent="0.3">
      <c r="A3" t="s">
        <v>77</v>
      </c>
    </row>
    <row r="4" spans="1:1" x14ac:dyDescent="0.3">
      <c r="A4" t="s">
        <v>78</v>
      </c>
    </row>
    <row r="5" spans="1:1" x14ac:dyDescent="0.3">
      <c r="A5" t="s">
        <v>387</v>
      </c>
    </row>
    <row r="6" spans="1:1" x14ac:dyDescent="0.3">
      <c r="A6" t="s">
        <v>388</v>
      </c>
    </row>
    <row r="7" spans="1:1" x14ac:dyDescent="0.3">
      <c r="A7" t="s">
        <v>389</v>
      </c>
    </row>
    <row r="8" spans="1:1" x14ac:dyDescent="0.3">
      <c r="A8" t="s">
        <v>390</v>
      </c>
    </row>
    <row r="9" spans="1:1" x14ac:dyDescent="0.3">
      <c r="A9" t="s">
        <v>498</v>
      </c>
    </row>
    <row r="10" spans="1:1" x14ac:dyDescent="0.3">
      <c r="A10" t="s">
        <v>499</v>
      </c>
    </row>
    <row r="11" spans="1:1" x14ac:dyDescent="0.3">
      <c r="A11" t="s">
        <v>500</v>
      </c>
    </row>
    <row r="12" spans="1:1" x14ac:dyDescent="0.3">
      <c r="A12" t="s">
        <v>501</v>
      </c>
    </row>
    <row r="13" spans="1:1" x14ac:dyDescent="0.3">
      <c r="A13" t="s">
        <v>515</v>
      </c>
    </row>
    <row r="14" spans="1:1" x14ac:dyDescent="0.3">
      <c r="A14" t="s">
        <v>516</v>
      </c>
    </row>
    <row r="15" spans="1:1" x14ac:dyDescent="0.3">
      <c r="A15" t="s">
        <v>517</v>
      </c>
    </row>
    <row r="16" spans="1:1" x14ac:dyDescent="0.3">
      <c r="A16" t="s">
        <v>518</v>
      </c>
    </row>
    <row r="17" spans="1:1" x14ac:dyDescent="0.3">
      <c r="A17" t="s">
        <v>79</v>
      </c>
    </row>
    <row r="18" spans="1:1" x14ac:dyDescent="0.3">
      <c r="A18" t="s">
        <v>80</v>
      </c>
    </row>
    <row r="19" spans="1:1" x14ac:dyDescent="0.3">
      <c r="A19" t="s">
        <v>81</v>
      </c>
    </row>
    <row r="20" spans="1:1" x14ac:dyDescent="0.3">
      <c r="A20" t="s">
        <v>82</v>
      </c>
    </row>
    <row r="21" spans="1:1" x14ac:dyDescent="0.3">
      <c r="A21" t="s">
        <v>391</v>
      </c>
    </row>
    <row r="22" spans="1:1" x14ac:dyDescent="0.3">
      <c r="A22" t="s">
        <v>392</v>
      </c>
    </row>
    <row r="23" spans="1:1" x14ac:dyDescent="0.3">
      <c r="A23" t="s">
        <v>393</v>
      </c>
    </row>
    <row r="24" spans="1:1" x14ac:dyDescent="0.3">
      <c r="A24" t="s">
        <v>394</v>
      </c>
    </row>
    <row r="25" spans="1:1" x14ac:dyDescent="0.3">
      <c r="A25" t="s">
        <v>395</v>
      </c>
    </row>
    <row r="26" spans="1:1" x14ac:dyDescent="0.3">
      <c r="A26" t="s">
        <v>396</v>
      </c>
    </row>
    <row r="27" spans="1:1" x14ac:dyDescent="0.3">
      <c r="A27" t="s">
        <v>397</v>
      </c>
    </row>
    <row r="28" spans="1:1" x14ac:dyDescent="0.3">
      <c r="A28" t="s">
        <v>398</v>
      </c>
    </row>
    <row r="29" spans="1:1" x14ac:dyDescent="0.3">
      <c r="A29" t="s">
        <v>399</v>
      </c>
    </row>
    <row r="30" spans="1:1" x14ac:dyDescent="0.3">
      <c r="A30" t="s">
        <v>400</v>
      </c>
    </row>
    <row r="31" spans="1:1" x14ac:dyDescent="0.3">
      <c r="A31" t="s">
        <v>401</v>
      </c>
    </row>
    <row r="32" spans="1:1" x14ac:dyDescent="0.3">
      <c r="A32" t="s">
        <v>402</v>
      </c>
    </row>
    <row r="33" spans="1:1" x14ac:dyDescent="0.3">
      <c r="A33" t="s">
        <v>83</v>
      </c>
    </row>
    <row r="34" spans="1:1" x14ac:dyDescent="0.3">
      <c r="A34" t="s">
        <v>84</v>
      </c>
    </row>
    <row r="35" spans="1:1" x14ac:dyDescent="0.3">
      <c r="A35" t="s">
        <v>85</v>
      </c>
    </row>
    <row r="36" spans="1:1" x14ac:dyDescent="0.3">
      <c r="A36" t="s">
        <v>86</v>
      </c>
    </row>
    <row r="37" spans="1:1" x14ac:dyDescent="0.3">
      <c r="A37" t="s">
        <v>87</v>
      </c>
    </row>
    <row r="38" spans="1:1" x14ac:dyDescent="0.3">
      <c r="A38" t="s">
        <v>88</v>
      </c>
    </row>
    <row r="39" spans="1:1" x14ac:dyDescent="0.3">
      <c r="A39" t="s">
        <v>89</v>
      </c>
    </row>
    <row r="40" spans="1:1" x14ac:dyDescent="0.3">
      <c r="A40" t="s">
        <v>90</v>
      </c>
    </row>
    <row r="41" spans="1:1" x14ac:dyDescent="0.3">
      <c r="A41" t="s">
        <v>91</v>
      </c>
    </row>
    <row r="42" spans="1:1" x14ac:dyDescent="0.3">
      <c r="A42" t="s">
        <v>92</v>
      </c>
    </row>
    <row r="43" spans="1:1" x14ac:dyDescent="0.3">
      <c r="A43" t="s">
        <v>93</v>
      </c>
    </row>
    <row r="44" spans="1:1" x14ac:dyDescent="0.3">
      <c r="A44" t="s">
        <v>94</v>
      </c>
    </row>
    <row r="45" spans="1:1" x14ac:dyDescent="0.3">
      <c r="A45" t="s">
        <v>95</v>
      </c>
    </row>
    <row r="46" spans="1:1" x14ac:dyDescent="0.3">
      <c r="A46" t="s">
        <v>96</v>
      </c>
    </row>
    <row r="47" spans="1:1" x14ac:dyDescent="0.3">
      <c r="A47" t="s">
        <v>97</v>
      </c>
    </row>
    <row r="48" spans="1:1" x14ac:dyDescent="0.3">
      <c r="A48" t="s">
        <v>98</v>
      </c>
    </row>
    <row r="49" spans="1:1" x14ac:dyDescent="0.3">
      <c r="A49" t="s">
        <v>99</v>
      </c>
    </row>
    <row r="50" spans="1:1" x14ac:dyDescent="0.3">
      <c r="A50" t="s">
        <v>100</v>
      </c>
    </row>
    <row r="51" spans="1:1" x14ac:dyDescent="0.3">
      <c r="A51" t="s">
        <v>101</v>
      </c>
    </row>
    <row r="52" spans="1:1" x14ac:dyDescent="0.3">
      <c r="A52" t="s">
        <v>102</v>
      </c>
    </row>
    <row r="53" spans="1:1" x14ac:dyDescent="0.3">
      <c r="A53" t="s">
        <v>103</v>
      </c>
    </row>
    <row r="54" spans="1:1" x14ac:dyDescent="0.3">
      <c r="A54" t="s">
        <v>104</v>
      </c>
    </row>
    <row r="55" spans="1:1" x14ac:dyDescent="0.3">
      <c r="A55" t="s">
        <v>105</v>
      </c>
    </row>
    <row r="56" spans="1:1" x14ac:dyDescent="0.3">
      <c r="A56" t="s">
        <v>106</v>
      </c>
    </row>
    <row r="57" spans="1:1" x14ac:dyDescent="0.3">
      <c r="A57" t="s">
        <v>107</v>
      </c>
    </row>
    <row r="58" spans="1:1" x14ac:dyDescent="0.3">
      <c r="A58" t="s">
        <v>108</v>
      </c>
    </row>
    <row r="59" spans="1:1" x14ac:dyDescent="0.3">
      <c r="A59" t="s">
        <v>109</v>
      </c>
    </row>
    <row r="60" spans="1:1" x14ac:dyDescent="0.3">
      <c r="A60" t="s">
        <v>110</v>
      </c>
    </row>
    <row r="61" spans="1:1" x14ac:dyDescent="0.3">
      <c r="A61" t="s">
        <v>111</v>
      </c>
    </row>
    <row r="62" spans="1:1" x14ac:dyDescent="0.3">
      <c r="A62" t="s">
        <v>112</v>
      </c>
    </row>
    <row r="63" spans="1:1" x14ac:dyDescent="0.3">
      <c r="A63" t="s">
        <v>113</v>
      </c>
    </row>
    <row r="64" spans="1:1" x14ac:dyDescent="0.3">
      <c r="A64" t="s">
        <v>114</v>
      </c>
    </row>
    <row r="65" spans="1:1" x14ac:dyDescent="0.3">
      <c r="A65" t="s">
        <v>115</v>
      </c>
    </row>
    <row r="66" spans="1:1" x14ac:dyDescent="0.3">
      <c r="A66" t="s">
        <v>116</v>
      </c>
    </row>
    <row r="67" spans="1:1" x14ac:dyDescent="0.3">
      <c r="A67" t="s">
        <v>117</v>
      </c>
    </row>
    <row r="68" spans="1:1" x14ac:dyDescent="0.3">
      <c r="A68" t="s">
        <v>118</v>
      </c>
    </row>
    <row r="69" spans="1:1" x14ac:dyDescent="0.3">
      <c r="A69" t="s">
        <v>119</v>
      </c>
    </row>
    <row r="70" spans="1:1" x14ac:dyDescent="0.3">
      <c r="A70" t="s">
        <v>120</v>
      </c>
    </row>
    <row r="71" spans="1:1" x14ac:dyDescent="0.3">
      <c r="A71" t="s">
        <v>121</v>
      </c>
    </row>
    <row r="72" spans="1:1" x14ac:dyDescent="0.3">
      <c r="A72" t="s">
        <v>122</v>
      </c>
    </row>
    <row r="73" spans="1:1" x14ac:dyDescent="0.3">
      <c r="A73" t="s">
        <v>123</v>
      </c>
    </row>
    <row r="74" spans="1:1" x14ac:dyDescent="0.3">
      <c r="A74" t="s">
        <v>124</v>
      </c>
    </row>
    <row r="75" spans="1:1" x14ac:dyDescent="0.3">
      <c r="A75" t="s">
        <v>125</v>
      </c>
    </row>
    <row r="76" spans="1:1" x14ac:dyDescent="0.3">
      <c r="A76" t="s">
        <v>126</v>
      </c>
    </row>
    <row r="77" spans="1:1" x14ac:dyDescent="0.3">
      <c r="A77" t="s">
        <v>127</v>
      </c>
    </row>
    <row r="78" spans="1:1" x14ac:dyDescent="0.3">
      <c r="A78" t="s">
        <v>128</v>
      </c>
    </row>
    <row r="79" spans="1:1" x14ac:dyDescent="0.3">
      <c r="A79" t="s">
        <v>129</v>
      </c>
    </row>
    <row r="80" spans="1:1" x14ac:dyDescent="0.3">
      <c r="A80" t="s">
        <v>130</v>
      </c>
    </row>
    <row r="81" spans="1:1" x14ac:dyDescent="0.3">
      <c r="A81" t="s">
        <v>131</v>
      </c>
    </row>
    <row r="82" spans="1:1" x14ac:dyDescent="0.3">
      <c r="A82" t="s">
        <v>132</v>
      </c>
    </row>
    <row r="83" spans="1:1" x14ac:dyDescent="0.3">
      <c r="A83" t="s">
        <v>133</v>
      </c>
    </row>
    <row r="84" spans="1:1" x14ac:dyDescent="0.3">
      <c r="A84" t="s">
        <v>134</v>
      </c>
    </row>
    <row r="85" spans="1:1" x14ac:dyDescent="0.3">
      <c r="A85" t="s">
        <v>135</v>
      </c>
    </row>
    <row r="86" spans="1:1" x14ac:dyDescent="0.3">
      <c r="A86" t="s">
        <v>136</v>
      </c>
    </row>
    <row r="87" spans="1:1" x14ac:dyDescent="0.3">
      <c r="A87" t="s">
        <v>137</v>
      </c>
    </row>
    <row r="88" spans="1:1" x14ac:dyDescent="0.3">
      <c r="A88" t="s">
        <v>138</v>
      </c>
    </row>
    <row r="89" spans="1:1" x14ac:dyDescent="0.3">
      <c r="A89" t="s">
        <v>139</v>
      </c>
    </row>
    <row r="90" spans="1:1" x14ac:dyDescent="0.3">
      <c r="A90" t="s">
        <v>140</v>
      </c>
    </row>
    <row r="91" spans="1:1" x14ac:dyDescent="0.3">
      <c r="A91" t="s">
        <v>141</v>
      </c>
    </row>
    <row r="92" spans="1:1" x14ac:dyDescent="0.3">
      <c r="A92" t="s">
        <v>142</v>
      </c>
    </row>
    <row r="93" spans="1:1" x14ac:dyDescent="0.3">
      <c r="A93" t="s">
        <v>469</v>
      </c>
    </row>
    <row r="94" spans="1:1" x14ac:dyDescent="0.3">
      <c r="A94" t="s">
        <v>470</v>
      </c>
    </row>
    <row r="95" spans="1:1" x14ac:dyDescent="0.3">
      <c r="A95" t="s">
        <v>471</v>
      </c>
    </row>
    <row r="96" spans="1:1" x14ac:dyDescent="0.3">
      <c r="A96" t="s">
        <v>472</v>
      </c>
    </row>
    <row r="97" spans="1:1" x14ac:dyDescent="0.3">
      <c r="A97" t="s">
        <v>143</v>
      </c>
    </row>
    <row r="98" spans="1:1" x14ac:dyDescent="0.3">
      <c r="A98" t="s">
        <v>144</v>
      </c>
    </row>
    <row r="99" spans="1:1" x14ac:dyDescent="0.3">
      <c r="A99" t="s">
        <v>145</v>
      </c>
    </row>
    <row r="100" spans="1:1" x14ac:dyDescent="0.3">
      <c r="A100" t="s">
        <v>146</v>
      </c>
    </row>
    <row r="101" spans="1:1" x14ac:dyDescent="0.3">
      <c r="A101" t="s">
        <v>147</v>
      </c>
    </row>
    <row r="102" spans="1:1" x14ac:dyDescent="0.3">
      <c r="A102" t="s">
        <v>148</v>
      </c>
    </row>
    <row r="103" spans="1:1" x14ac:dyDescent="0.3">
      <c r="A103" t="s">
        <v>149</v>
      </c>
    </row>
    <row r="104" spans="1:1" x14ac:dyDescent="0.3">
      <c r="A104" t="s">
        <v>150</v>
      </c>
    </row>
    <row r="105" spans="1:1" x14ac:dyDescent="0.3">
      <c r="A105" t="s">
        <v>151</v>
      </c>
    </row>
    <row r="106" spans="1:1" x14ac:dyDescent="0.3">
      <c r="A106" t="s">
        <v>152</v>
      </c>
    </row>
    <row r="107" spans="1:1" x14ac:dyDescent="0.3">
      <c r="A107" t="s">
        <v>153</v>
      </c>
    </row>
    <row r="108" spans="1:1" x14ac:dyDescent="0.3">
      <c r="A108" t="s">
        <v>154</v>
      </c>
    </row>
    <row r="109" spans="1:1" x14ac:dyDescent="0.3">
      <c r="A109" t="s">
        <v>411</v>
      </c>
    </row>
    <row r="110" spans="1:1" x14ac:dyDescent="0.3">
      <c r="A110" t="s">
        <v>412</v>
      </c>
    </row>
    <row r="111" spans="1:1" x14ac:dyDescent="0.3">
      <c r="A111" t="s">
        <v>413</v>
      </c>
    </row>
    <row r="112" spans="1:1" x14ac:dyDescent="0.3">
      <c r="A112" t="s">
        <v>414</v>
      </c>
    </row>
    <row r="113" spans="1:1" x14ac:dyDescent="0.3">
      <c r="A113" t="s">
        <v>502</v>
      </c>
    </row>
    <row r="114" spans="1:1" x14ac:dyDescent="0.3">
      <c r="A114" t="s">
        <v>503</v>
      </c>
    </row>
    <row r="115" spans="1:1" x14ac:dyDescent="0.3">
      <c r="A115" t="s">
        <v>504</v>
      </c>
    </row>
    <row r="116" spans="1:1" x14ac:dyDescent="0.3">
      <c r="A116" t="s">
        <v>505</v>
      </c>
    </row>
    <row r="117" spans="1:1" x14ac:dyDescent="0.3">
      <c r="A117" t="s">
        <v>519</v>
      </c>
    </row>
    <row r="118" spans="1:1" x14ac:dyDescent="0.3">
      <c r="A118" t="s">
        <v>520</v>
      </c>
    </row>
    <row r="119" spans="1:1" x14ac:dyDescent="0.3">
      <c r="A119" t="s">
        <v>521</v>
      </c>
    </row>
    <row r="120" spans="1:1" x14ac:dyDescent="0.3">
      <c r="A120" t="s">
        <v>522</v>
      </c>
    </row>
    <row r="121" spans="1:1" x14ac:dyDescent="0.3">
      <c r="A121" t="s">
        <v>155</v>
      </c>
    </row>
    <row r="122" spans="1:1" x14ac:dyDescent="0.3">
      <c r="A122" t="s">
        <v>156</v>
      </c>
    </row>
    <row r="123" spans="1:1" x14ac:dyDescent="0.3">
      <c r="A123" t="s">
        <v>157</v>
      </c>
    </row>
    <row r="124" spans="1:1" x14ac:dyDescent="0.3">
      <c r="A124" t="s">
        <v>158</v>
      </c>
    </row>
    <row r="125" spans="1:1" x14ac:dyDescent="0.3">
      <c r="A125" t="s">
        <v>407</v>
      </c>
    </row>
    <row r="126" spans="1:1" x14ac:dyDescent="0.3">
      <c r="A126" t="s">
        <v>408</v>
      </c>
    </row>
    <row r="127" spans="1:1" x14ac:dyDescent="0.3">
      <c r="A127" t="s">
        <v>409</v>
      </c>
    </row>
    <row r="128" spans="1:1" x14ac:dyDescent="0.3">
      <c r="A128" t="s">
        <v>410</v>
      </c>
    </row>
    <row r="129" spans="1:1" x14ac:dyDescent="0.3">
      <c r="A129" t="s">
        <v>415</v>
      </c>
    </row>
    <row r="130" spans="1:1" x14ac:dyDescent="0.3">
      <c r="A130" t="s">
        <v>416</v>
      </c>
    </row>
    <row r="131" spans="1:1" x14ac:dyDescent="0.3">
      <c r="A131" t="s">
        <v>417</v>
      </c>
    </row>
    <row r="132" spans="1:1" x14ac:dyDescent="0.3">
      <c r="A132" t="s">
        <v>418</v>
      </c>
    </row>
    <row r="133" spans="1:1" x14ac:dyDescent="0.3">
      <c r="A133" t="s">
        <v>431</v>
      </c>
    </row>
    <row r="134" spans="1:1" x14ac:dyDescent="0.3">
      <c r="A134" t="s">
        <v>432</v>
      </c>
    </row>
    <row r="135" spans="1:1" x14ac:dyDescent="0.3">
      <c r="A135" t="s">
        <v>433</v>
      </c>
    </row>
    <row r="136" spans="1:1" x14ac:dyDescent="0.3">
      <c r="A136" t="s">
        <v>434</v>
      </c>
    </row>
    <row r="137" spans="1:1" x14ac:dyDescent="0.3">
      <c r="A137" t="s">
        <v>159</v>
      </c>
    </row>
    <row r="138" spans="1:1" x14ac:dyDescent="0.3">
      <c r="A138" t="s">
        <v>160</v>
      </c>
    </row>
    <row r="139" spans="1:1" x14ac:dyDescent="0.3">
      <c r="A139" t="s">
        <v>161</v>
      </c>
    </row>
    <row r="140" spans="1:1" x14ac:dyDescent="0.3">
      <c r="A140" t="s">
        <v>162</v>
      </c>
    </row>
    <row r="141" spans="1:1" x14ac:dyDescent="0.3">
      <c r="A141" t="s">
        <v>163</v>
      </c>
    </row>
    <row r="142" spans="1:1" x14ac:dyDescent="0.3">
      <c r="A142" t="s">
        <v>164</v>
      </c>
    </row>
    <row r="143" spans="1:1" x14ac:dyDescent="0.3">
      <c r="A143" t="s">
        <v>165</v>
      </c>
    </row>
    <row r="144" spans="1:1" x14ac:dyDescent="0.3">
      <c r="A144" t="s">
        <v>166</v>
      </c>
    </row>
    <row r="145" spans="1:1" x14ac:dyDescent="0.3">
      <c r="A145" t="s">
        <v>167</v>
      </c>
    </row>
    <row r="146" spans="1:1" x14ac:dyDescent="0.3">
      <c r="A146" t="s">
        <v>168</v>
      </c>
    </row>
    <row r="147" spans="1:1" x14ac:dyDescent="0.3">
      <c r="A147" t="s">
        <v>169</v>
      </c>
    </row>
    <row r="148" spans="1:1" x14ac:dyDescent="0.3">
      <c r="A148" t="s">
        <v>170</v>
      </c>
    </row>
    <row r="149" spans="1:1" x14ac:dyDescent="0.3">
      <c r="A149" t="s">
        <v>171</v>
      </c>
    </row>
    <row r="150" spans="1:1" x14ac:dyDescent="0.3">
      <c r="A150" t="s">
        <v>172</v>
      </c>
    </row>
    <row r="151" spans="1:1" x14ac:dyDescent="0.3">
      <c r="A151" t="s">
        <v>173</v>
      </c>
    </row>
    <row r="152" spans="1:1" x14ac:dyDescent="0.3">
      <c r="A152" t="s">
        <v>174</v>
      </c>
    </row>
    <row r="153" spans="1:1" x14ac:dyDescent="0.3">
      <c r="A153" t="s">
        <v>175</v>
      </c>
    </row>
    <row r="154" spans="1:1" x14ac:dyDescent="0.3">
      <c r="A154" t="s">
        <v>176</v>
      </c>
    </row>
    <row r="155" spans="1:1" x14ac:dyDescent="0.3">
      <c r="A155" t="s">
        <v>177</v>
      </c>
    </row>
    <row r="156" spans="1:1" x14ac:dyDescent="0.3">
      <c r="A156" t="s">
        <v>178</v>
      </c>
    </row>
    <row r="157" spans="1:1" x14ac:dyDescent="0.3">
      <c r="A157" t="s">
        <v>179</v>
      </c>
    </row>
    <row r="158" spans="1:1" x14ac:dyDescent="0.3">
      <c r="A158" t="s">
        <v>180</v>
      </c>
    </row>
    <row r="159" spans="1:1" x14ac:dyDescent="0.3">
      <c r="A159" t="s">
        <v>181</v>
      </c>
    </row>
    <row r="160" spans="1:1" x14ac:dyDescent="0.3">
      <c r="A160" t="s">
        <v>182</v>
      </c>
    </row>
    <row r="161" spans="1:1" x14ac:dyDescent="0.3">
      <c r="A161" t="s">
        <v>183</v>
      </c>
    </row>
    <row r="162" spans="1:1" x14ac:dyDescent="0.3">
      <c r="A162" t="s">
        <v>184</v>
      </c>
    </row>
    <row r="163" spans="1:1" x14ac:dyDescent="0.3">
      <c r="A163" t="s">
        <v>185</v>
      </c>
    </row>
    <row r="164" spans="1:1" x14ac:dyDescent="0.3">
      <c r="A164" t="s">
        <v>186</v>
      </c>
    </row>
    <row r="165" spans="1:1" x14ac:dyDescent="0.3">
      <c r="A165" t="s">
        <v>187</v>
      </c>
    </row>
    <row r="166" spans="1:1" x14ac:dyDescent="0.3">
      <c r="A166" t="s">
        <v>188</v>
      </c>
    </row>
    <row r="167" spans="1:1" x14ac:dyDescent="0.3">
      <c r="A167" t="s">
        <v>189</v>
      </c>
    </row>
    <row r="168" spans="1:1" x14ac:dyDescent="0.3">
      <c r="A168" t="s">
        <v>190</v>
      </c>
    </row>
    <row r="169" spans="1:1" x14ac:dyDescent="0.3">
      <c r="A169" t="s">
        <v>191</v>
      </c>
    </row>
    <row r="170" spans="1:1" x14ac:dyDescent="0.3">
      <c r="A170" t="s">
        <v>192</v>
      </c>
    </row>
    <row r="171" spans="1:1" x14ac:dyDescent="0.3">
      <c r="A171" t="s">
        <v>193</v>
      </c>
    </row>
    <row r="172" spans="1:1" x14ac:dyDescent="0.3">
      <c r="A172" t="s">
        <v>194</v>
      </c>
    </row>
    <row r="173" spans="1:1" x14ac:dyDescent="0.3">
      <c r="A173" t="s">
        <v>195</v>
      </c>
    </row>
    <row r="174" spans="1:1" x14ac:dyDescent="0.3">
      <c r="A174" t="s">
        <v>196</v>
      </c>
    </row>
    <row r="175" spans="1:1" x14ac:dyDescent="0.3">
      <c r="A175" t="s">
        <v>197</v>
      </c>
    </row>
    <row r="176" spans="1:1" x14ac:dyDescent="0.3">
      <c r="A176" t="s">
        <v>198</v>
      </c>
    </row>
    <row r="177" spans="1:7" x14ac:dyDescent="0.3">
      <c r="A177" t="s">
        <v>199</v>
      </c>
      <c r="B177" s="80"/>
      <c r="C177" s="80"/>
      <c r="D177" s="80"/>
      <c r="E177" s="80"/>
      <c r="F177" s="80"/>
      <c r="G177" s="80"/>
    </row>
    <row r="178" spans="1:7" x14ac:dyDescent="0.3">
      <c r="A178" t="s">
        <v>200</v>
      </c>
      <c r="B178" s="80"/>
      <c r="C178" s="80"/>
      <c r="D178" s="80"/>
      <c r="E178" s="80"/>
      <c r="F178" s="80"/>
      <c r="G178" s="80"/>
    </row>
    <row r="179" spans="1:7" x14ac:dyDescent="0.3">
      <c r="A179" t="s">
        <v>201</v>
      </c>
      <c r="B179" s="80"/>
      <c r="C179" s="80"/>
      <c r="D179" s="80"/>
      <c r="E179" s="80"/>
      <c r="F179" s="80"/>
      <c r="G179" s="80"/>
    </row>
    <row r="180" spans="1:7" x14ac:dyDescent="0.3">
      <c r="A180" t="s">
        <v>202</v>
      </c>
      <c r="B180" s="80"/>
      <c r="C180" s="80"/>
      <c r="D180" s="80"/>
      <c r="E180" s="80"/>
      <c r="F180" s="80"/>
      <c r="G180" s="80"/>
    </row>
    <row r="181" spans="1:7" x14ac:dyDescent="0.3">
      <c r="A181" t="s">
        <v>203</v>
      </c>
      <c r="B181" s="80"/>
      <c r="C181" s="80"/>
      <c r="D181" s="80"/>
      <c r="E181" s="80"/>
      <c r="F181" s="80"/>
      <c r="G181" s="80"/>
    </row>
    <row r="182" spans="1:7" x14ac:dyDescent="0.3">
      <c r="A182" t="s">
        <v>204</v>
      </c>
      <c r="B182" s="80"/>
      <c r="C182" s="80"/>
      <c r="D182" s="80"/>
      <c r="E182" s="80"/>
      <c r="F182" s="80"/>
      <c r="G182" s="80"/>
    </row>
    <row r="183" spans="1:7" x14ac:dyDescent="0.3">
      <c r="A183" t="s">
        <v>205</v>
      </c>
      <c r="B183" s="80"/>
      <c r="C183" s="80"/>
      <c r="D183" s="80"/>
      <c r="E183" s="80"/>
      <c r="F183" s="80"/>
      <c r="G183" s="80"/>
    </row>
    <row r="184" spans="1:7" x14ac:dyDescent="0.3">
      <c r="A184" t="s">
        <v>206</v>
      </c>
      <c r="B184" s="80"/>
      <c r="C184" s="80"/>
      <c r="D184" s="80"/>
      <c r="E184" s="80"/>
      <c r="F184" s="80"/>
      <c r="G184" s="80"/>
    </row>
    <row r="185" spans="1:7" x14ac:dyDescent="0.3">
      <c r="A185" t="s">
        <v>207</v>
      </c>
      <c r="B185" s="80"/>
      <c r="C185" s="80"/>
      <c r="D185" s="80"/>
      <c r="E185" s="80"/>
      <c r="F185" s="80"/>
      <c r="G185" s="80"/>
    </row>
    <row r="186" spans="1:7" x14ac:dyDescent="0.3">
      <c r="A186" t="s">
        <v>208</v>
      </c>
      <c r="B186" s="80"/>
      <c r="C186" s="80"/>
      <c r="D186" s="80"/>
      <c r="E186" s="80"/>
      <c r="F186" s="80"/>
      <c r="G186" s="80"/>
    </row>
    <row r="187" spans="1:7" x14ac:dyDescent="0.3">
      <c r="A187" t="s">
        <v>209</v>
      </c>
      <c r="B187" s="80"/>
      <c r="C187" s="80"/>
      <c r="D187" s="80"/>
      <c r="E187" s="80"/>
      <c r="F187" s="80"/>
      <c r="G187" s="80"/>
    </row>
    <row r="188" spans="1:7" x14ac:dyDescent="0.3">
      <c r="A188" t="s">
        <v>210</v>
      </c>
      <c r="B188" s="80"/>
      <c r="C188" s="80"/>
      <c r="D188" s="80"/>
      <c r="E188" s="80"/>
      <c r="F188" s="80"/>
      <c r="G188" s="80"/>
    </row>
    <row r="189" spans="1:7" x14ac:dyDescent="0.3">
      <c r="A189" t="s">
        <v>211</v>
      </c>
      <c r="B189" s="80"/>
      <c r="C189" s="80"/>
      <c r="D189" s="80"/>
      <c r="E189" s="80"/>
      <c r="F189" s="80"/>
      <c r="G189" s="80"/>
    </row>
    <row r="190" spans="1:7" x14ac:dyDescent="0.3">
      <c r="A190" t="s">
        <v>212</v>
      </c>
      <c r="B190" s="80"/>
      <c r="C190" s="80"/>
      <c r="D190" s="80"/>
      <c r="E190" s="80"/>
      <c r="F190" s="80"/>
      <c r="G190" s="80"/>
    </row>
    <row r="191" spans="1:7" x14ac:dyDescent="0.3">
      <c r="A191" t="s">
        <v>213</v>
      </c>
      <c r="B191" s="80"/>
      <c r="C191" s="80"/>
      <c r="D191" s="80"/>
      <c r="E191" s="80"/>
      <c r="F191" s="80"/>
      <c r="G191" s="80"/>
    </row>
    <row r="192" spans="1:7" x14ac:dyDescent="0.3">
      <c r="A192" t="s">
        <v>214</v>
      </c>
      <c r="B192" s="80"/>
      <c r="C192" s="80"/>
      <c r="D192" s="80"/>
      <c r="E192" s="80"/>
      <c r="F192" s="80"/>
      <c r="G192" s="80"/>
    </row>
    <row r="193" spans="1:7" x14ac:dyDescent="0.3">
      <c r="A193" t="s">
        <v>215</v>
      </c>
      <c r="B193" s="80"/>
      <c r="C193" s="80"/>
      <c r="D193" s="80"/>
      <c r="E193" s="80"/>
      <c r="F193" s="80"/>
      <c r="G193" s="80"/>
    </row>
    <row r="194" spans="1:7" x14ac:dyDescent="0.3">
      <c r="A194" t="s">
        <v>216</v>
      </c>
      <c r="B194" s="80"/>
      <c r="C194" s="80"/>
      <c r="D194" s="80"/>
      <c r="E194" s="80"/>
      <c r="F194" s="80"/>
      <c r="G194" s="80"/>
    </row>
    <row r="195" spans="1:7" x14ac:dyDescent="0.3">
      <c r="A195" t="s">
        <v>217</v>
      </c>
      <c r="B195" s="80"/>
      <c r="C195" s="80"/>
      <c r="D195" s="80"/>
      <c r="E195" s="80"/>
      <c r="F195" s="80"/>
      <c r="G195" s="80"/>
    </row>
    <row r="196" spans="1:7" x14ac:dyDescent="0.3">
      <c r="A196" t="s">
        <v>218</v>
      </c>
      <c r="B196" s="80"/>
      <c r="C196" s="80"/>
      <c r="D196" s="80"/>
      <c r="E196" s="80"/>
      <c r="F196" s="80"/>
      <c r="G196" s="80"/>
    </row>
    <row r="197" spans="1:7" x14ac:dyDescent="0.3">
      <c r="A197" t="s">
        <v>473</v>
      </c>
      <c r="B197" s="80"/>
      <c r="C197" s="80"/>
      <c r="D197" s="80"/>
      <c r="E197" s="80"/>
      <c r="F197" s="80"/>
      <c r="G197" s="80"/>
    </row>
    <row r="198" spans="1:7" x14ac:dyDescent="0.3">
      <c r="A198" t="s">
        <v>474</v>
      </c>
      <c r="B198" s="80"/>
      <c r="C198" s="80"/>
      <c r="D198" s="80"/>
      <c r="E198" s="80"/>
      <c r="F198" s="80"/>
      <c r="G198" s="80"/>
    </row>
    <row r="199" spans="1:7" x14ac:dyDescent="0.3">
      <c r="A199" t="s">
        <v>475</v>
      </c>
      <c r="B199" s="80"/>
      <c r="C199" s="80"/>
      <c r="D199" s="80"/>
      <c r="E199" s="80"/>
      <c r="F199" s="80"/>
      <c r="G199" s="80"/>
    </row>
    <row r="200" spans="1:7" x14ac:dyDescent="0.3">
      <c r="A200" t="s">
        <v>476</v>
      </c>
      <c r="B200" s="80"/>
      <c r="C200" s="80"/>
      <c r="D200" s="80"/>
      <c r="E200" s="80"/>
      <c r="F200" s="80"/>
      <c r="G200" s="80"/>
    </row>
    <row r="201" spans="1:7" x14ac:dyDescent="0.3">
      <c r="A201" t="s">
        <v>219</v>
      </c>
      <c r="B201" s="80"/>
      <c r="C201" s="80"/>
      <c r="D201" s="80"/>
      <c r="E201" s="80"/>
      <c r="F201" s="80"/>
      <c r="G201" s="80"/>
    </row>
    <row r="202" spans="1:7" x14ac:dyDescent="0.3">
      <c r="A202" t="s">
        <v>220</v>
      </c>
      <c r="B202" s="80"/>
      <c r="C202" s="80"/>
      <c r="D202" s="80"/>
      <c r="E202" s="80"/>
      <c r="F202" s="80"/>
      <c r="G202" s="80"/>
    </row>
    <row r="203" spans="1:7" x14ac:dyDescent="0.3">
      <c r="A203" t="s">
        <v>221</v>
      </c>
      <c r="B203" s="80"/>
      <c r="C203" s="80"/>
      <c r="D203" s="80"/>
      <c r="E203" s="80"/>
      <c r="F203" s="80"/>
      <c r="G203" s="80"/>
    </row>
    <row r="204" spans="1:7" x14ac:dyDescent="0.3">
      <c r="A204" t="s">
        <v>222</v>
      </c>
      <c r="B204" s="80"/>
      <c r="C204" s="80"/>
      <c r="D204" s="80"/>
      <c r="E204" s="80"/>
      <c r="F204" s="80"/>
      <c r="G204" s="80"/>
    </row>
    <row r="205" spans="1:7" x14ac:dyDescent="0.3">
      <c r="A205" t="s">
        <v>223</v>
      </c>
      <c r="B205" s="80"/>
      <c r="C205" s="80"/>
      <c r="D205" s="80"/>
      <c r="E205" s="80"/>
      <c r="F205" s="80"/>
      <c r="G205" s="80"/>
    </row>
    <row r="206" spans="1:7" x14ac:dyDescent="0.3">
      <c r="A206" t="s">
        <v>224</v>
      </c>
      <c r="B206" s="80"/>
      <c r="C206" s="80"/>
      <c r="D206" s="80"/>
      <c r="E206" s="80"/>
      <c r="F206" s="80"/>
      <c r="G206" s="80"/>
    </row>
    <row r="207" spans="1:7" x14ac:dyDescent="0.3">
      <c r="A207" t="s">
        <v>225</v>
      </c>
      <c r="B207" s="80"/>
      <c r="C207" s="80"/>
      <c r="D207" s="80"/>
      <c r="E207" s="80"/>
      <c r="F207" s="80"/>
      <c r="G207" s="80"/>
    </row>
    <row r="208" spans="1:7" x14ac:dyDescent="0.3">
      <c r="A208" t="s">
        <v>226</v>
      </c>
      <c r="B208" s="80"/>
      <c r="C208" s="80"/>
      <c r="D208" s="80"/>
      <c r="E208" s="80"/>
      <c r="F208" s="80"/>
      <c r="G208" s="80"/>
    </row>
    <row r="209" spans="1:7" x14ac:dyDescent="0.3">
      <c r="A209" t="s">
        <v>227</v>
      </c>
      <c r="B209" s="80"/>
      <c r="C209" s="80"/>
      <c r="D209" s="80"/>
      <c r="E209" s="80"/>
      <c r="F209" s="80"/>
      <c r="G209" s="80"/>
    </row>
    <row r="210" spans="1:7" x14ac:dyDescent="0.3">
      <c r="A210" t="s">
        <v>228</v>
      </c>
      <c r="B210" s="80"/>
      <c r="C210" s="80"/>
      <c r="D210" s="80"/>
      <c r="E210" s="80"/>
      <c r="F210" s="80"/>
      <c r="G210" s="80"/>
    </row>
    <row r="211" spans="1:7" x14ac:dyDescent="0.3">
      <c r="A211" t="s">
        <v>229</v>
      </c>
      <c r="B211" s="80"/>
      <c r="C211" s="80"/>
      <c r="D211" s="80"/>
      <c r="E211" s="80"/>
      <c r="F211" s="80"/>
      <c r="G211" s="80"/>
    </row>
    <row r="212" spans="1:7" x14ac:dyDescent="0.3">
      <c r="A212" t="s">
        <v>230</v>
      </c>
      <c r="B212" s="80"/>
      <c r="C212" s="80"/>
      <c r="D212" s="80"/>
      <c r="E212" s="80"/>
      <c r="F212" s="80"/>
      <c r="G212" s="80"/>
    </row>
    <row r="213" spans="1:7" x14ac:dyDescent="0.3">
      <c r="A213" t="s">
        <v>403</v>
      </c>
      <c r="B213" s="80"/>
      <c r="C213" s="80"/>
      <c r="D213" s="80"/>
      <c r="E213" s="80"/>
      <c r="F213" s="80"/>
      <c r="G213" s="80"/>
    </row>
    <row r="214" spans="1:7" x14ac:dyDescent="0.3">
      <c r="A214" t="s">
        <v>404</v>
      </c>
      <c r="B214" s="80"/>
      <c r="C214" s="80"/>
      <c r="D214" s="80"/>
      <c r="E214" s="80"/>
      <c r="F214" s="80"/>
      <c r="G214" s="80"/>
    </row>
    <row r="215" spans="1:7" x14ac:dyDescent="0.3">
      <c r="A215" t="s">
        <v>405</v>
      </c>
      <c r="B215" s="80"/>
      <c r="C215" s="80"/>
      <c r="D215" s="80"/>
      <c r="E215" s="80"/>
      <c r="F215" s="80"/>
      <c r="G215" s="80"/>
    </row>
    <row r="216" spans="1:7" x14ac:dyDescent="0.3">
      <c r="A216" t="s">
        <v>406</v>
      </c>
      <c r="B216" s="80"/>
      <c r="C216" s="80"/>
      <c r="D216" s="80"/>
      <c r="E216" s="80"/>
      <c r="F216" s="80"/>
      <c r="G216" s="80"/>
    </row>
    <row r="217" spans="1:7" x14ac:dyDescent="0.3">
      <c r="A217" t="s">
        <v>506</v>
      </c>
      <c r="B217" s="80"/>
      <c r="C217" s="80"/>
      <c r="D217" s="80"/>
      <c r="E217" s="80"/>
      <c r="F217" s="80"/>
      <c r="G217" s="80"/>
    </row>
    <row r="218" spans="1:7" x14ac:dyDescent="0.3">
      <c r="A218" t="s">
        <v>507</v>
      </c>
      <c r="B218" s="80"/>
      <c r="C218" s="80"/>
      <c r="D218" s="80"/>
      <c r="E218" s="80"/>
      <c r="F218" s="80"/>
      <c r="G218" s="80"/>
    </row>
    <row r="219" spans="1:7" x14ac:dyDescent="0.3">
      <c r="A219" t="s">
        <v>508</v>
      </c>
      <c r="B219" s="80"/>
      <c r="C219" s="80"/>
      <c r="D219" s="80"/>
      <c r="E219" s="80"/>
      <c r="F219" s="80"/>
      <c r="G219" s="80"/>
    </row>
    <row r="220" spans="1:7" x14ac:dyDescent="0.3">
      <c r="A220" t="s">
        <v>509</v>
      </c>
      <c r="B220" s="80"/>
      <c r="C220" s="80"/>
      <c r="D220" s="80"/>
      <c r="E220" s="80"/>
      <c r="F220" s="80"/>
      <c r="G220" s="80"/>
    </row>
    <row r="221" spans="1:7" x14ac:dyDescent="0.3">
      <c r="A221" t="s">
        <v>523</v>
      </c>
      <c r="B221" s="80"/>
      <c r="C221" s="80"/>
      <c r="D221" s="80"/>
      <c r="E221" s="80"/>
      <c r="F221" s="80"/>
      <c r="G221" s="80"/>
    </row>
    <row r="222" spans="1:7" x14ac:dyDescent="0.3">
      <c r="A222" t="s">
        <v>524</v>
      </c>
      <c r="B222" s="80"/>
      <c r="C222" s="80"/>
      <c r="D222" s="80"/>
      <c r="E222" s="80"/>
      <c r="F222" s="80"/>
      <c r="G222" s="80"/>
    </row>
    <row r="223" spans="1:7" x14ac:dyDescent="0.3">
      <c r="A223" t="s">
        <v>525</v>
      </c>
      <c r="B223" s="80"/>
      <c r="C223" s="80"/>
      <c r="D223" s="80"/>
      <c r="E223" s="80"/>
      <c r="F223" s="80"/>
      <c r="G223" s="80"/>
    </row>
    <row r="224" spans="1:7" x14ac:dyDescent="0.3">
      <c r="A224" t="s">
        <v>526</v>
      </c>
      <c r="B224" s="80"/>
      <c r="C224" s="80"/>
      <c r="D224" s="80"/>
      <c r="E224" s="80"/>
      <c r="F224" s="80"/>
      <c r="G224" s="80"/>
    </row>
    <row r="225" spans="1:7" x14ac:dyDescent="0.3">
      <c r="A225" t="s">
        <v>231</v>
      </c>
      <c r="B225" s="80"/>
      <c r="C225" s="80"/>
      <c r="D225" s="80"/>
      <c r="E225" s="80"/>
      <c r="F225" s="80"/>
      <c r="G225" s="80"/>
    </row>
    <row r="226" spans="1:7" x14ac:dyDescent="0.3">
      <c r="A226" t="s">
        <v>232</v>
      </c>
      <c r="B226" s="80"/>
      <c r="C226" s="80"/>
      <c r="D226" s="80"/>
      <c r="E226" s="80"/>
      <c r="F226" s="80"/>
      <c r="G226" s="80"/>
    </row>
    <row r="227" spans="1:7" x14ac:dyDescent="0.3">
      <c r="A227" t="s">
        <v>233</v>
      </c>
      <c r="B227" s="80"/>
      <c r="C227" s="80"/>
      <c r="D227" s="80"/>
      <c r="E227" s="80"/>
      <c r="F227" s="80"/>
      <c r="G227" s="80"/>
    </row>
    <row r="228" spans="1:7" x14ac:dyDescent="0.3">
      <c r="A228" t="s">
        <v>234</v>
      </c>
      <c r="B228" s="80"/>
      <c r="C228" s="80"/>
      <c r="D228" s="80"/>
      <c r="E228" s="80"/>
      <c r="F228" s="80"/>
      <c r="G228" s="80"/>
    </row>
    <row r="229" spans="1:7" x14ac:dyDescent="0.3">
      <c r="A229" t="s">
        <v>427</v>
      </c>
      <c r="B229" s="80"/>
      <c r="C229" s="80"/>
      <c r="D229" s="80"/>
      <c r="E229" s="80"/>
      <c r="F229" s="80"/>
      <c r="G229" s="80"/>
    </row>
    <row r="230" spans="1:7" x14ac:dyDescent="0.3">
      <c r="A230" t="s">
        <v>428</v>
      </c>
      <c r="B230" s="80"/>
      <c r="C230" s="80"/>
      <c r="D230" s="80"/>
      <c r="E230" s="80"/>
      <c r="F230" s="80"/>
      <c r="G230" s="80"/>
    </row>
    <row r="231" spans="1:7" x14ac:dyDescent="0.3">
      <c r="A231" t="s">
        <v>429</v>
      </c>
      <c r="B231" s="80"/>
      <c r="C231" s="80"/>
      <c r="D231" s="80"/>
      <c r="E231" s="80"/>
      <c r="F231" s="80"/>
      <c r="G231" s="80"/>
    </row>
    <row r="232" spans="1:7" x14ac:dyDescent="0.3">
      <c r="A232" t="s">
        <v>430</v>
      </c>
      <c r="B232" s="80"/>
      <c r="C232" s="80"/>
      <c r="D232" s="80"/>
      <c r="E232" s="80"/>
      <c r="F232" s="80"/>
      <c r="G232" s="80"/>
    </row>
    <row r="233" spans="1:7" x14ac:dyDescent="0.3">
      <c r="A233" t="s">
        <v>419</v>
      </c>
      <c r="B233" s="80"/>
      <c r="C233" s="80"/>
      <c r="D233" s="80"/>
      <c r="E233" s="80"/>
      <c r="F233" s="80"/>
      <c r="G233" s="80"/>
    </row>
    <row r="234" spans="1:7" x14ac:dyDescent="0.3">
      <c r="A234" t="s">
        <v>420</v>
      </c>
      <c r="B234" s="80"/>
      <c r="C234" s="80"/>
      <c r="D234" s="80"/>
      <c r="E234" s="80"/>
      <c r="F234" s="80"/>
      <c r="G234" s="80"/>
    </row>
    <row r="235" spans="1:7" x14ac:dyDescent="0.3">
      <c r="A235" t="s">
        <v>421</v>
      </c>
      <c r="B235" s="80"/>
      <c r="C235" s="80"/>
      <c r="D235" s="80"/>
      <c r="E235" s="80"/>
      <c r="F235" s="80"/>
      <c r="G235" s="80"/>
    </row>
    <row r="236" spans="1:7" x14ac:dyDescent="0.3">
      <c r="A236" t="s">
        <v>422</v>
      </c>
      <c r="B236" s="80"/>
      <c r="C236" s="80"/>
      <c r="D236" s="80"/>
      <c r="E236" s="80"/>
      <c r="F236" s="80"/>
      <c r="G236" s="80"/>
    </row>
    <row r="237" spans="1:7" x14ac:dyDescent="0.3">
      <c r="A237" t="s">
        <v>435</v>
      </c>
      <c r="B237" s="80"/>
      <c r="C237" s="80"/>
      <c r="D237" s="80"/>
      <c r="E237" s="80"/>
      <c r="F237" s="80"/>
      <c r="G237" s="80"/>
    </row>
    <row r="238" spans="1:7" x14ac:dyDescent="0.3">
      <c r="A238" t="s">
        <v>436</v>
      </c>
      <c r="B238" s="80"/>
      <c r="C238" s="80"/>
      <c r="D238" s="80"/>
      <c r="E238" s="80"/>
      <c r="F238" s="80"/>
      <c r="G238" s="80"/>
    </row>
    <row r="239" spans="1:7" x14ac:dyDescent="0.3">
      <c r="A239" t="s">
        <v>437</v>
      </c>
      <c r="B239" s="80"/>
      <c r="C239" s="80"/>
      <c r="D239" s="80"/>
      <c r="E239" s="80"/>
      <c r="F239" s="80"/>
      <c r="G239" s="80"/>
    </row>
    <row r="240" spans="1:7" x14ac:dyDescent="0.3">
      <c r="A240" t="s">
        <v>438</v>
      </c>
      <c r="B240" s="80"/>
      <c r="C240" s="80"/>
      <c r="D240" s="80"/>
      <c r="E240" s="80"/>
      <c r="F240" s="80"/>
      <c r="G240" s="80"/>
    </row>
    <row r="241" spans="1:7" x14ac:dyDescent="0.3">
      <c r="A241" t="s">
        <v>235</v>
      </c>
      <c r="B241" s="80"/>
      <c r="C241" s="80"/>
      <c r="D241" s="80"/>
      <c r="E241" s="80"/>
      <c r="F241" s="80"/>
      <c r="G241" s="80"/>
    </row>
    <row r="242" spans="1:7" x14ac:dyDescent="0.3">
      <c r="A242" t="s">
        <v>236</v>
      </c>
      <c r="B242" s="80"/>
      <c r="C242" s="80"/>
      <c r="D242" s="80"/>
      <c r="E242" s="80"/>
      <c r="F242" s="80"/>
      <c r="G242" s="80"/>
    </row>
    <row r="243" spans="1:7" x14ac:dyDescent="0.3">
      <c r="A243" t="s">
        <v>237</v>
      </c>
      <c r="B243" s="80"/>
      <c r="C243" s="80"/>
      <c r="D243" s="80"/>
      <c r="E243" s="80"/>
      <c r="F243" s="80"/>
      <c r="G243" s="80"/>
    </row>
    <row r="244" spans="1:7" x14ac:dyDescent="0.3">
      <c r="A244" t="s">
        <v>238</v>
      </c>
      <c r="B244" s="80"/>
      <c r="C244" s="80"/>
      <c r="D244" s="80"/>
      <c r="E244" s="80"/>
      <c r="F244" s="80"/>
      <c r="G244" s="80"/>
    </row>
    <row r="245" spans="1:7" x14ac:dyDescent="0.3">
      <c r="A245" t="s">
        <v>239</v>
      </c>
      <c r="B245" s="80"/>
      <c r="C245" s="80"/>
      <c r="D245" s="80"/>
      <c r="E245" s="80"/>
      <c r="F245" s="80"/>
      <c r="G245" s="80"/>
    </row>
    <row r="246" spans="1:7" x14ac:dyDescent="0.3">
      <c r="A246" t="s">
        <v>240</v>
      </c>
      <c r="B246" s="80"/>
      <c r="C246" s="80"/>
      <c r="D246" s="80"/>
      <c r="E246" s="80"/>
      <c r="F246" s="80"/>
      <c r="G246" s="80"/>
    </row>
    <row r="247" spans="1:7" x14ac:dyDescent="0.3">
      <c r="A247" t="s">
        <v>241</v>
      </c>
      <c r="B247" s="80"/>
      <c r="C247" s="80"/>
      <c r="D247" s="80"/>
      <c r="E247" s="80"/>
      <c r="F247" s="80"/>
      <c r="G247" s="80"/>
    </row>
    <row r="248" spans="1:7" x14ac:dyDescent="0.3">
      <c r="A248" t="s">
        <v>242</v>
      </c>
      <c r="B248" s="80"/>
      <c r="C248" s="80"/>
      <c r="D248" s="80"/>
      <c r="E248" s="80"/>
      <c r="F248" s="80"/>
      <c r="G248" s="80"/>
    </row>
    <row r="249" spans="1:7" x14ac:dyDescent="0.3">
      <c r="A249" t="s">
        <v>243</v>
      </c>
      <c r="B249" s="80"/>
      <c r="C249" s="80"/>
      <c r="D249" s="80"/>
      <c r="E249" s="80"/>
      <c r="F249" s="80"/>
      <c r="G249" s="80"/>
    </row>
    <row r="250" spans="1:7" x14ac:dyDescent="0.3">
      <c r="A250" t="s">
        <v>244</v>
      </c>
      <c r="B250" s="80"/>
      <c r="C250" s="80"/>
      <c r="D250" s="80"/>
      <c r="E250" s="80"/>
      <c r="F250" s="80"/>
      <c r="G250" s="80"/>
    </row>
    <row r="251" spans="1:7" x14ac:dyDescent="0.3">
      <c r="A251" t="s">
        <v>245</v>
      </c>
      <c r="B251" s="80"/>
      <c r="C251" s="80"/>
      <c r="D251" s="80"/>
      <c r="E251" s="80"/>
      <c r="F251" s="80"/>
      <c r="G251" s="80"/>
    </row>
    <row r="252" spans="1:7" x14ac:dyDescent="0.3">
      <c r="A252" t="s">
        <v>246</v>
      </c>
      <c r="B252" s="80"/>
      <c r="C252" s="80"/>
      <c r="D252" s="80"/>
      <c r="E252" s="80"/>
      <c r="F252" s="80"/>
      <c r="G252" s="80"/>
    </row>
    <row r="253" spans="1:7" x14ac:dyDescent="0.3">
      <c r="A253" t="s">
        <v>247</v>
      </c>
      <c r="B253" s="80"/>
      <c r="C253" s="80"/>
      <c r="D253" s="80"/>
      <c r="E253" s="80"/>
      <c r="F253" s="80"/>
      <c r="G253" s="80"/>
    </row>
    <row r="254" spans="1:7" x14ac:dyDescent="0.3">
      <c r="A254" t="s">
        <v>248</v>
      </c>
      <c r="B254" s="80"/>
      <c r="C254" s="80"/>
      <c r="D254" s="80"/>
      <c r="E254" s="80"/>
      <c r="F254" s="80"/>
      <c r="G254" s="80"/>
    </row>
    <row r="255" spans="1:7" x14ac:dyDescent="0.3">
      <c r="A255" t="s">
        <v>249</v>
      </c>
      <c r="B255" s="80"/>
      <c r="C255" s="80"/>
      <c r="D255" s="80"/>
      <c r="E255" s="80"/>
      <c r="F255" s="80"/>
      <c r="G255" s="80"/>
    </row>
    <row r="256" spans="1:7" x14ac:dyDescent="0.3">
      <c r="A256" t="s">
        <v>250</v>
      </c>
      <c r="B256" s="80"/>
      <c r="C256" s="80"/>
      <c r="D256" s="80"/>
      <c r="E256" s="80"/>
      <c r="F256" s="80"/>
      <c r="G256" s="80"/>
    </row>
    <row r="257" spans="1:7" x14ac:dyDescent="0.3">
      <c r="A257" t="s">
        <v>251</v>
      </c>
      <c r="B257" s="80"/>
      <c r="C257" s="80"/>
      <c r="D257" s="80"/>
      <c r="E257" s="80"/>
      <c r="F257" s="80"/>
      <c r="G257" s="80"/>
    </row>
    <row r="258" spans="1:7" x14ac:dyDescent="0.3">
      <c r="A258" t="s">
        <v>252</v>
      </c>
      <c r="B258" s="80"/>
      <c r="C258" s="80"/>
      <c r="D258" s="80"/>
      <c r="E258" s="80"/>
      <c r="F258" s="80"/>
      <c r="G258" s="80"/>
    </row>
    <row r="259" spans="1:7" x14ac:dyDescent="0.3">
      <c r="A259" t="s">
        <v>253</v>
      </c>
      <c r="B259" s="80"/>
      <c r="C259" s="80"/>
      <c r="D259" s="80"/>
      <c r="E259" s="80"/>
      <c r="F259" s="80"/>
      <c r="G259" s="80"/>
    </row>
    <row r="260" spans="1:7" x14ac:dyDescent="0.3">
      <c r="A260" t="s">
        <v>254</v>
      </c>
      <c r="B260" s="80"/>
      <c r="C260" s="80"/>
      <c r="D260" s="80"/>
      <c r="E260" s="80"/>
      <c r="F260" s="80"/>
      <c r="G260" s="80"/>
    </row>
    <row r="261" spans="1:7" x14ac:dyDescent="0.3">
      <c r="A261" t="s">
        <v>255</v>
      </c>
      <c r="B261" s="80"/>
      <c r="C261" s="80"/>
      <c r="D261" s="80"/>
      <c r="E261" s="80"/>
      <c r="F261" s="80"/>
      <c r="G261" s="80"/>
    </row>
    <row r="262" spans="1:7" x14ac:dyDescent="0.3">
      <c r="A262" t="s">
        <v>256</v>
      </c>
      <c r="B262" s="80"/>
      <c r="C262" s="80"/>
      <c r="D262" s="80"/>
      <c r="E262" s="80"/>
      <c r="F262" s="80"/>
      <c r="G262" s="80"/>
    </row>
    <row r="263" spans="1:7" x14ac:dyDescent="0.3">
      <c r="A263" t="s">
        <v>257</v>
      </c>
      <c r="B263" s="80"/>
      <c r="C263" s="80"/>
      <c r="D263" s="80"/>
      <c r="E263" s="80"/>
      <c r="F263" s="80"/>
      <c r="G263" s="80"/>
    </row>
    <row r="264" spans="1:7" x14ac:dyDescent="0.3">
      <c r="A264" t="s">
        <v>258</v>
      </c>
      <c r="B264" s="80"/>
      <c r="C264" s="80"/>
      <c r="D264" s="80"/>
      <c r="E264" s="80"/>
      <c r="F264" s="80"/>
      <c r="G264" s="80"/>
    </row>
    <row r="265" spans="1:7" x14ac:dyDescent="0.3">
      <c r="A265" t="s">
        <v>259</v>
      </c>
    </row>
    <row r="266" spans="1:7" x14ac:dyDescent="0.3">
      <c r="A266" t="s">
        <v>260</v>
      </c>
    </row>
    <row r="267" spans="1:7" x14ac:dyDescent="0.3">
      <c r="A267" t="s">
        <v>261</v>
      </c>
    </row>
    <row r="268" spans="1:7" x14ac:dyDescent="0.3">
      <c r="A268" t="s">
        <v>262</v>
      </c>
    </row>
    <row r="269" spans="1:7" x14ac:dyDescent="0.3">
      <c r="A269" t="s">
        <v>263</v>
      </c>
    </row>
    <row r="270" spans="1:7" x14ac:dyDescent="0.3">
      <c r="A270" t="s">
        <v>264</v>
      </c>
    </row>
    <row r="271" spans="1:7" x14ac:dyDescent="0.3">
      <c r="A271" t="s">
        <v>265</v>
      </c>
    </row>
    <row r="272" spans="1:7" x14ac:dyDescent="0.3">
      <c r="A272" t="s">
        <v>266</v>
      </c>
    </row>
    <row r="273" spans="1:1" x14ac:dyDescent="0.3">
      <c r="A273" t="s">
        <v>267</v>
      </c>
    </row>
    <row r="274" spans="1:1" x14ac:dyDescent="0.3">
      <c r="A274" t="s">
        <v>268</v>
      </c>
    </row>
    <row r="275" spans="1:1" x14ac:dyDescent="0.3">
      <c r="A275" t="s">
        <v>269</v>
      </c>
    </row>
    <row r="276" spans="1:1" x14ac:dyDescent="0.3">
      <c r="A276" t="s">
        <v>270</v>
      </c>
    </row>
    <row r="277" spans="1:1" x14ac:dyDescent="0.3">
      <c r="A277" t="s">
        <v>271</v>
      </c>
    </row>
    <row r="278" spans="1:1" x14ac:dyDescent="0.3">
      <c r="A278" t="s">
        <v>272</v>
      </c>
    </row>
    <row r="279" spans="1:1" x14ac:dyDescent="0.3">
      <c r="A279" t="s">
        <v>273</v>
      </c>
    </row>
    <row r="280" spans="1:1" x14ac:dyDescent="0.3">
      <c r="A280" t="s">
        <v>274</v>
      </c>
    </row>
    <row r="281" spans="1:1" x14ac:dyDescent="0.3">
      <c r="A281" t="s">
        <v>275</v>
      </c>
    </row>
    <row r="282" spans="1:1" x14ac:dyDescent="0.3">
      <c r="A282" t="s">
        <v>276</v>
      </c>
    </row>
    <row r="283" spans="1:1" x14ac:dyDescent="0.3">
      <c r="A283" t="s">
        <v>277</v>
      </c>
    </row>
    <row r="284" spans="1:1" x14ac:dyDescent="0.3">
      <c r="A284" t="s">
        <v>278</v>
      </c>
    </row>
    <row r="285" spans="1:1" x14ac:dyDescent="0.3">
      <c r="A285" t="s">
        <v>279</v>
      </c>
    </row>
    <row r="286" spans="1:1" x14ac:dyDescent="0.3">
      <c r="A286" t="s">
        <v>280</v>
      </c>
    </row>
    <row r="287" spans="1:1" x14ac:dyDescent="0.3">
      <c r="A287" t="s">
        <v>281</v>
      </c>
    </row>
    <row r="288" spans="1:1" x14ac:dyDescent="0.3">
      <c r="A288" t="s">
        <v>282</v>
      </c>
    </row>
    <row r="289" spans="1:1" x14ac:dyDescent="0.3">
      <c r="A289" t="s">
        <v>283</v>
      </c>
    </row>
    <row r="290" spans="1:1" x14ac:dyDescent="0.3">
      <c r="A290" t="s">
        <v>284</v>
      </c>
    </row>
    <row r="291" spans="1:1" x14ac:dyDescent="0.3">
      <c r="A291" t="s">
        <v>285</v>
      </c>
    </row>
    <row r="292" spans="1:1" x14ac:dyDescent="0.3">
      <c r="A292" t="s">
        <v>286</v>
      </c>
    </row>
    <row r="293" spans="1:1" x14ac:dyDescent="0.3">
      <c r="A293" t="s">
        <v>287</v>
      </c>
    </row>
    <row r="294" spans="1:1" x14ac:dyDescent="0.3">
      <c r="A294" t="s">
        <v>288</v>
      </c>
    </row>
    <row r="295" spans="1:1" x14ac:dyDescent="0.3">
      <c r="A295" t="s">
        <v>289</v>
      </c>
    </row>
    <row r="296" spans="1:1" x14ac:dyDescent="0.3">
      <c r="A296" t="s">
        <v>290</v>
      </c>
    </row>
    <row r="297" spans="1:1" x14ac:dyDescent="0.3">
      <c r="A297" t="s">
        <v>291</v>
      </c>
    </row>
    <row r="298" spans="1:1" x14ac:dyDescent="0.3">
      <c r="A298" t="s">
        <v>292</v>
      </c>
    </row>
    <row r="299" spans="1:1" x14ac:dyDescent="0.3">
      <c r="A299" t="s">
        <v>293</v>
      </c>
    </row>
    <row r="300" spans="1:1" x14ac:dyDescent="0.3">
      <c r="A300" t="s">
        <v>294</v>
      </c>
    </row>
    <row r="301" spans="1:1" x14ac:dyDescent="0.3">
      <c r="A301" t="s">
        <v>481</v>
      </c>
    </row>
    <row r="302" spans="1:1" x14ac:dyDescent="0.3">
      <c r="A302" t="s">
        <v>482</v>
      </c>
    </row>
    <row r="303" spans="1:1" x14ac:dyDescent="0.3">
      <c r="A303" t="s">
        <v>483</v>
      </c>
    </row>
    <row r="304" spans="1:1" x14ac:dyDescent="0.3">
      <c r="A304" t="s">
        <v>484</v>
      </c>
    </row>
    <row r="305" spans="1:1" x14ac:dyDescent="0.3">
      <c r="A305" t="s">
        <v>295</v>
      </c>
    </row>
    <row r="306" spans="1:1" x14ac:dyDescent="0.3">
      <c r="A306" t="s">
        <v>296</v>
      </c>
    </row>
    <row r="307" spans="1:1" x14ac:dyDescent="0.3">
      <c r="A307" t="s">
        <v>297</v>
      </c>
    </row>
    <row r="308" spans="1:1" x14ac:dyDescent="0.3">
      <c r="A308" t="s">
        <v>298</v>
      </c>
    </row>
    <row r="309" spans="1:1" x14ac:dyDescent="0.3">
      <c r="A309" t="s">
        <v>299</v>
      </c>
    </row>
    <row r="310" spans="1:1" x14ac:dyDescent="0.3">
      <c r="A310" t="s">
        <v>300</v>
      </c>
    </row>
    <row r="311" spans="1:1" x14ac:dyDescent="0.3">
      <c r="A311" t="s">
        <v>301</v>
      </c>
    </row>
    <row r="312" spans="1:1" x14ac:dyDescent="0.3">
      <c r="A312" t="s">
        <v>302</v>
      </c>
    </row>
    <row r="313" spans="1:1" x14ac:dyDescent="0.3">
      <c r="A313" t="s">
        <v>303</v>
      </c>
    </row>
    <row r="314" spans="1:1" x14ac:dyDescent="0.3">
      <c r="A314" t="s">
        <v>304</v>
      </c>
    </row>
    <row r="315" spans="1:1" x14ac:dyDescent="0.3">
      <c r="A315" t="s">
        <v>305</v>
      </c>
    </row>
    <row r="316" spans="1:1" x14ac:dyDescent="0.3">
      <c r="A316" t="s">
        <v>306</v>
      </c>
    </row>
    <row r="317" spans="1:1" x14ac:dyDescent="0.3">
      <c r="A317" t="s">
        <v>443</v>
      </c>
    </row>
    <row r="318" spans="1:1" x14ac:dyDescent="0.3">
      <c r="A318" t="s">
        <v>444</v>
      </c>
    </row>
    <row r="319" spans="1:1" x14ac:dyDescent="0.3">
      <c r="A319" t="s">
        <v>445</v>
      </c>
    </row>
    <row r="320" spans="1:1" x14ac:dyDescent="0.3">
      <c r="A320" t="s">
        <v>446</v>
      </c>
    </row>
    <row r="321" spans="1:1" x14ac:dyDescent="0.3">
      <c r="A321" t="s">
        <v>510</v>
      </c>
    </row>
    <row r="322" spans="1:1" x14ac:dyDescent="0.3">
      <c r="A322" t="s">
        <v>511</v>
      </c>
    </row>
    <row r="323" spans="1:1" x14ac:dyDescent="0.3">
      <c r="A323" t="s">
        <v>512</v>
      </c>
    </row>
    <row r="324" spans="1:1" x14ac:dyDescent="0.3">
      <c r="A324" t="s">
        <v>513</v>
      </c>
    </row>
    <row r="325" spans="1:1" x14ac:dyDescent="0.3">
      <c r="A325" t="s">
        <v>527</v>
      </c>
    </row>
    <row r="326" spans="1:1" x14ac:dyDescent="0.3">
      <c r="A326" t="s">
        <v>528</v>
      </c>
    </row>
    <row r="327" spans="1:1" x14ac:dyDescent="0.3">
      <c r="A327" t="s">
        <v>529</v>
      </c>
    </row>
    <row r="328" spans="1:1" x14ac:dyDescent="0.3">
      <c r="A328" t="s">
        <v>530</v>
      </c>
    </row>
    <row r="329" spans="1:1" x14ac:dyDescent="0.3">
      <c r="A329" t="s">
        <v>307</v>
      </c>
    </row>
    <row r="330" spans="1:1" x14ac:dyDescent="0.3">
      <c r="A330" t="s">
        <v>308</v>
      </c>
    </row>
    <row r="331" spans="1:1" x14ac:dyDescent="0.3">
      <c r="A331" t="s">
        <v>309</v>
      </c>
    </row>
    <row r="332" spans="1:1" x14ac:dyDescent="0.3">
      <c r="A332" t="s">
        <v>310</v>
      </c>
    </row>
    <row r="333" spans="1:1" x14ac:dyDescent="0.3">
      <c r="A333" t="s">
        <v>447</v>
      </c>
    </row>
    <row r="334" spans="1:1" x14ac:dyDescent="0.3">
      <c r="A334" t="s">
        <v>448</v>
      </c>
    </row>
    <row r="335" spans="1:1" x14ac:dyDescent="0.3">
      <c r="A335" t="s">
        <v>449</v>
      </c>
    </row>
    <row r="336" spans="1:1" x14ac:dyDescent="0.3">
      <c r="A336" t="s">
        <v>310</v>
      </c>
    </row>
    <row r="337" spans="1:1" x14ac:dyDescent="0.3">
      <c r="A337" t="s">
        <v>423</v>
      </c>
    </row>
    <row r="338" spans="1:1" x14ac:dyDescent="0.3">
      <c r="A338" t="s">
        <v>424</v>
      </c>
    </row>
    <row r="339" spans="1:1" x14ac:dyDescent="0.3">
      <c r="A339" t="s">
        <v>425</v>
      </c>
    </row>
    <row r="340" spans="1:1" x14ac:dyDescent="0.3">
      <c r="A340" t="s">
        <v>426</v>
      </c>
    </row>
    <row r="341" spans="1:1" x14ac:dyDescent="0.3">
      <c r="A341" t="s">
        <v>439</v>
      </c>
    </row>
    <row r="342" spans="1:1" x14ac:dyDescent="0.3">
      <c r="A342" t="s">
        <v>440</v>
      </c>
    </row>
    <row r="343" spans="1:1" x14ac:dyDescent="0.3">
      <c r="A343" t="s">
        <v>441</v>
      </c>
    </row>
    <row r="344" spans="1:1" x14ac:dyDescent="0.3">
      <c r="A344" t="s">
        <v>442</v>
      </c>
    </row>
    <row r="345" spans="1:1" x14ac:dyDescent="0.3">
      <c r="A345" t="s">
        <v>311</v>
      </c>
    </row>
    <row r="346" spans="1:1" x14ac:dyDescent="0.3">
      <c r="A346" t="s">
        <v>312</v>
      </c>
    </row>
    <row r="347" spans="1:1" x14ac:dyDescent="0.3">
      <c r="A347" t="s">
        <v>313</v>
      </c>
    </row>
    <row r="348" spans="1:1" x14ac:dyDescent="0.3">
      <c r="A348" t="s">
        <v>314</v>
      </c>
    </row>
    <row r="349" spans="1:1" x14ac:dyDescent="0.3">
      <c r="A349" t="s">
        <v>315</v>
      </c>
    </row>
    <row r="350" spans="1:1" x14ac:dyDescent="0.3">
      <c r="A350" t="s">
        <v>316</v>
      </c>
    </row>
    <row r="351" spans="1:1" x14ac:dyDescent="0.3">
      <c r="A351" t="s">
        <v>317</v>
      </c>
    </row>
    <row r="352" spans="1:1" x14ac:dyDescent="0.3">
      <c r="A352" t="s">
        <v>318</v>
      </c>
    </row>
    <row r="353" spans="1:1" x14ac:dyDescent="0.3">
      <c r="A353" t="s">
        <v>319</v>
      </c>
    </row>
    <row r="354" spans="1:1" x14ac:dyDescent="0.3">
      <c r="A354" t="s">
        <v>320</v>
      </c>
    </row>
    <row r="355" spans="1:1" x14ac:dyDescent="0.3">
      <c r="A355" t="s">
        <v>321</v>
      </c>
    </row>
    <row r="356" spans="1:1" x14ac:dyDescent="0.3">
      <c r="A356" t="s">
        <v>322</v>
      </c>
    </row>
    <row r="357" spans="1:1" x14ac:dyDescent="0.3">
      <c r="A357" t="s">
        <v>323</v>
      </c>
    </row>
    <row r="358" spans="1:1" x14ac:dyDescent="0.3">
      <c r="A358" t="s">
        <v>324</v>
      </c>
    </row>
    <row r="359" spans="1:1" x14ac:dyDescent="0.3">
      <c r="A359" t="s">
        <v>325</v>
      </c>
    </row>
    <row r="360" spans="1:1" x14ac:dyDescent="0.3">
      <c r="A360" t="s">
        <v>326</v>
      </c>
    </row>
    <row r="361" spans="1:1" x14ac:dyDescent="0.3">
      <c r="A361" t="s">
        <v>327</v>
      </c>
    </row>
    <row r="362" spans="1:1" x14ac:dyDescent="0.3">
      <c r="A362" t="s">
        <v>328</v>
      </c>
    </row>
    <row r="363" spans="1:1" x14ac:dyDescent="0.3">
      <c r="A363" t="s">
        <v>329</v>
      </c>
    </row>
    <row r="364" spans="1:1" x14ac:dyDescent="0.3">
      <c r="A364" t="s">
        <v>330</v>
      </c>
    </row>
    <row r="365" spans="1:1" x14ac:dyDescent="0.3">
      <c r="A365" t="s">
        <v>331</v>
      </c>
    </row>
    <row r="366" spans="1:1" x14ac:dyDescent="0.3">
      <c r="A366" t="s">
        <v>332</v>
      </c>
    </row>
    <row r="367" spans="1:1" x14ac:dyDescent="0.3">
      <c r="A367" t="s">
        <v>333</v>
      </c>
    </row>
    <row r="368" spans="1:1" x14ac:dyDescent="0.3">
      <c r="A368" t="s">
        <v>334</v>
      </c>
    </row>
    <row r="369" spans="1:1" x14ac:dyDescent="0.3">
      <c r="A369" t="s">
        <v>335</v>
      </c>
    </row>
    <row r="370" spans="1:1" x14ac:dyDescent="0.3">
      <c r="A370" t="s">
        <v>336</v>
      </c>
    </row>
    <row r="371" spans="1:1" x14ac:dyDescent="0.3">
      <c r="A371" t="s">
        <v>337</v>
      </c>
    </row>
    <row r="372" spans="1:1" x14ac:dyDescent="0.3">
      <c r="A372" t="s">
        <v>338</v>
      </c>
    </row>
    <row r="373" spans="1:1" x14ac:dyDescent="0.3">
      <c r="A373" t="s">
        <v>339</v>
      </c>
    </row>
    <row r="374" spans="1:1" x14ac:dyDescent="0.3">
      <c r="A374" t="s">
        <v>340</v>
      </c>
    </row>
    <row r="375" spans="1:1" x14ac:dyDescent="0.3">
      <c r="A375" t="s">
        <v>341</v>
      </c>
    </row>
    <row r="376" spans="1:1" x14ac:dyDescent="0.3">
      <c r="A376" t="s">
        <v>342</v>
      </c>
    </row>
    <row r="377" spans="1:1" x14ac:dyDescent="0.3">
      <c r="A377" t="s">
        <v>343</v>
      </c>
    </row>
    <row r="378" spans="1:1" x14ac:dyDescent="0.3">
      <c r="A378" t="s">
        <v>344</v>
      </c>
    </row>
    <row r="379" spans="1:1" x14ac:dyDescent="0.3">
      <c r="A379" t="s">
        <v>345</v>
      </c>
    </row>
    <row r="380" spans="1:1" x14ac:dyDescent="0.3">
      <c r="A380" t="s">
        <v>346</v>
      </c>
    </row>
    <row r="381" spans="1:1" x14ac:dyDescent="0.3">
      <c r="A381" t="s">
        <v>347</v>
      </c>
    </row>
    <row r="382" spans="1:1" x14ac:dyDescent="0.3">
      <c r="A382" t="s">
        <v>348</v>
      </c>
    </row>
    <row r="383" spans="1:1" x14ac:dyDescent="0.3">
      <c r="A383" t="s">
        <v>349</v>
      </c>
    </row>
    <row r="384" spans="1:1" x14ac:dyDescent="0.3">
      <c r="A384" t="s">
        <v>350</v>
      </c>
    </row>
    <row r="385" spans="1:1" x14ac:dyDescent="0.3">
      <c r="A385" t="s">
        <v>351</v>
      </c>
    </row>
    <row r="386" spans="1:1" x14ac:dyDescent="0.3">
      <c r="A386" t="s">
        <v>352</v>
      </c>
    </row>
    <row r="387" spans="1:1" x14ac:dyDescent="0.3">
      <c r="A387" t="s">
        <v>353</v>
      </c>
    </row>
    <row r="388" spans="1:1" x14ac:dyDescent="0.3">
      <c r="A388" t="s">
        <v>354</v>
      </c>
    </row>
    <row r="389" spans="1:1" x14ac:dyDescent="0.3">
      <c r="A389" t="s">
        <v>355</v>
      </c>
    </row>
    <row r="390" spans="1:1" x14ac:dyDescent="0.3">
      <c r="A390" t="s">
        <v>356</v>
      </c>
    </row>
    <row r="391" spans="1:1" x14ac:dyDescent="0.3">
      <c r="A391" t="s">
        <v>357</v>
      </c>
    </row>
    <row r="392" spans="1:1" x14ac:dyDescent="0.3">
      <c r="A392" t="s">
        <v>358</v>
      </c>
    </row>
    <row r="393" spans="1:1" x14ac:dyDescent="0.3">
      <c r="A393" t="s">
        <v>359</v>
      </c>
    </row>
    <row r="394" spans="1:1" x14ac:dyDescent="0.3">
      <c r="A394" t="s">
        <v>360</v>
      </c>
    </row>
    <row r="395" spans="1:1" x14ac:dyDescent="0.3">
      <c r="A395" t="s">
        <v>361</v>
      </c>
    </row>
    <row r="396" spans="1:1" x14ac:dyDescent="0.3">
      <c r="A396" t="s">
        <v>362</v>
      </c>
    </row>
    <row r="397" spans="1:1" x14ac:dyDescent="0.3">
      <c r="A397" t="s">
        <v>363</v>
      </c>
    </row>
    <row r="398" spans="1:1" x14ac:dyDescent="0.3">
      <c r="A398" t="s">
        <v>364</v>
      </c>
    </row>
    <row r="399" spans="1:1" x14ac:dyDescent="0.3">
      <c r="A399" t="s">
        <v>365</v>
      </c>
    </row>
    <row r="400" spans="1:1" x14ac:dyDescent="0.3">
      <c r="A400" t="s">
        <v>366</v>
      </c>
    </row>
    <row r="401" spans="1:1" x14ac:dyDescent="0.3">
      <c r="A401" t="s">
        <v>367</v>
      </c>
    </row>
    <row r="402" spans="1:1" x14ac:dyDescent="0.3">
      <c r="A402" t="s">
        <v>368</v>
      </c>
    </row>
    <row r="403" spans="1:1" x14ac:dyDescent="0.3">
      <c r="A403" t="s">
        <v>369</v>
      </c>
    </row>
    <row r="404" spans="1:1" x14ac:dyDescent="0.3">
      <c r="A404" t="s">
        <v>370</v>
      </c>
    </row>
    <row r="405" spans="1:1" x14ac:dyDescent="0.3">
      <c r="A405" t="s">
        <v>477</v>
      </c>
    </row>
    <row r="406" spans="1:1" x14ac:dyDescent="0.3">
      <c r="A406" t="s">
        <v>478</v>
      </c>
    </row>
    <row r="407" spans="1:1" x14ac:dyDescent="0.3">
      <c r="A407" t="s">
        <v>479</v>
      </c>
    </row>
    <row r="408" spans="1:1" x14ac:dyDescent="0.3">
      <c r="A408" t="s">
        <v>480</v>
      </c>
    </row>
    <row r="409" spans="1:1" x14ac:dyDescent="0.3">
      <c r="A409" t="s">
        <v>371</v>
      </c>
    </row>
    <row r="410" spans="1:1" x14ac:dyDescent="0.3">
      <c r="A410" t="s">
        <v>372</v>
      </c>
    </row>
    <row r="411" spans="1:1" x14ac:dyDescent="0.3">
      <c r="A411" t="s">
        <v>373</v>
      </c>
    </row>
    <row r="412" spans="1:1" x14ac:dyDescent="0.3">
      <c r="A412" t="s">
        <v>374</v>
      </c>
    </row>
    <row r="413" spans="1:1" x14ac:dyDescent="0.3">
      <c r="A413" t="s">
        <v>375</v>
      </c>
    </row>
    <row r="414" spans="1:1" x14ac:dyDescent="0.3">
      <c r="A414" t="s">
        <v>376</v>
      </c>
    </row>
    <row r="415" spans="1:1" x14ac:dyDescent="0.3">
      <c r="A415" t="s">
        <v>377</v>
      </c>
    </row>
    <row r="416" spans="1:1" x14ac:dyDescent="0.3">
      <c r="A416" t="s">
        <v>378</v>
      </c>
    </row>
  </sheetData>
  <phoneticPr fontId="10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82107</cp:lastModifiedBy>
  <dcterms:created xsi:type="dcterms:W3CDTF">2011-06-30T00:09:01Z</dcterms:created>
  <dcterms:modified xsi:type="dcterms:W3CDTF">2021-01-22T09:49:39Z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itusGUID">
    <vt:lpwstr>202bb8b5-c496-4aad-94dd-0528cd977255</vt:lpwstr>
  </property>
  <property fmtid="{D5CDD505-2E9C-101B-9397-08002B2CF9AE}" pid="4" name="CTP_TimeStamp">
    <vt:lpwstr>2018-04-23 23:26:23Z</vt:lpwstr>
  </property>
  <property fmtid="{D5CDD505-2E9C-101B-9397-08002B2CF9AE}" pid="5" name="CTP_BU">
    <vt:lpwstr>NA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</Properties>
</file>